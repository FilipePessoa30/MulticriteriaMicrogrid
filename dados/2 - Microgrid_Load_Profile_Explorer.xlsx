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730"/>
  <workbookPr defaultThemeVersion="124226"/>
  <mc:AlternateContent xmlns:mc="http://schemas.openxmlformats.org/markup-compatibility/2006">
    <mc:Choice Requires="x15">
      <x15ac:absPath xmlns:x15ac="http://schemas.microsoft.com/office/spreadsheetml/2010/11/ac" url="C:\Users\treber\Dropbox\Working Folder\Power Africa Minigrid TA\Tariff Report\"/>
    </mc:Choice>
  </mc:AlternateContent>
  <bookViews>
    <workbookView xWindow="-15" yWindow="585" windowWidth="11520" windowHeight="5355" xr2:uid="{00000000-000D-0000-FFFF-FFFF00000000}"/>
  </bookViews>
  <sheets>
    <sheet name="Overview" sheetId="18" r:id="rId1"/>
    <sheet name="Inputs&amp;OutputSummary" sheetId="11" r:id="rId2"/>
    <sheet name="HouseholdLoadProfiles" sheetId="7" r:id="rId3"/>
    <sheet name="CommercialLoadProfiles" sheetId="8" r:id="rId4"/>
    <sheet name="CoincidenceFactor_HouseholdLoad" sheetId="14" state="hidden" r:id="rId5"/>
  </sheets>
  <definedNames>
    <definedName name="d_0.03">#REF!</definedName>
    <definedName name="d_0.1">#REF!</definedName>
    <definedName name="load_ratio">#REF!</definedName>
    <definedName name="percent_of_load_served">#REF!</definedName>
  </definedNames>
  <calcPr calcId="171027"/>
</workbook>
</file>

<file path=xl/calcChain.xml><?xml version="1.0" encoding="utf-8"?>
<calcChain xmlns="http://schemas.openxmlformats.org/spreadsheetml/2006/main">
  <c r="C12" i="11" l="1"/>
  <c r="B13" i="11" s="1"/>
  <c r="E34" i="8" l="1"/>
  <c r="F46" i="8"/>
  <c r="F47" i="8"/>
  <c r="F48" i="8"/>
  <c r="F49" i="8"/>
  <c r="F50" i="8"/>
  <c r="F45" i="8"/>
  <c r="E46" i="8"/>
  <c r="E47" i="8"/>
  <c r="E48" i="8"/>
  <c r="E49" i="8"/>
  <c r="E50" i="8"/>
  <c r="E45" i="8"/>
  <c r="C46" i="8"/>
  <c r="C47" i="8"/>
  <c r="C48" i="8"/>
  <c r="C49" i="8"/>
  <c r="C50" i="8"/>
  <c r="C45" i="8"/>
  <c r="E68" i="8" l="1"/>
  <c r="I68" i="8"/>
  <c r="M68" i="8"/>
  <c r="Q68" i="8"/>
  <c r="U68" i="8"/>
  <c r="Y68" i="8"/>
  <c r="J68" i="8"/>
  <c r="N68" i="8"/>
  <c r="V68" i="8"/>
  <c r="Z68" i="8"/>
  <c r="F68" i="8"/>
  <c r="R68" i="8"/>
  <c r="D68" i="8"/>
  <c r="L68" i="8"/>
  <c r="T68" i="8"/>
  <c r="G68" i="8"/>
  <c r="O68" i="8"/>
  <c r="W68" i="8"/>
  <c r="H68" i="8"/>
  <c r="P68" i="8"/>
  <c r="X68" i="8"/>
  <c r="K68" i="8"/>
  <c r="S68" i="8"/>
  <c r="C68" i="8"/>
  <c r="D67" i="8"/>
  <c r="H67" i="8"/>
  <c r="L67" i="8"/>
  <c r="P67" i="8"/>
  <c r="T67" i="8"/>
  <c r="X67" i="8"/>
  <c r="I67" i="8"/>
  <c r="M67" i="8"/>
  <c r="Q67" i="8"/>
  <c r="Y67" i="8"/>
  <c r="E67" i="8"/>
  <c r="U67" i="8"/>
  <c r="F67" i="8"/>
  <c r="K67" i="8"/>
  <c r="S67" i="8"/>
  <c r="C67" i="8"/>
  <c r="N67" i="8"/>
  <c r="V67" i="8"/>
  <c r="G67" i="8"/>
  <c r="O67" i="8"/>
  <c r="W67" i="8"/>
  <c r="J67" i="8"/>
  <c r="R67" i="8"/>
  <c r="Z67" i="8"/>
  <c r="E64" i="8"/>
  <c r="I64" i="8"/>
  <c r="M64" i="8"/>
  <c r="Q64" i="8"/>
  <c r="U64" i="8"/>
  <c r="Y64" i="8"/>
  <c r="F64" i="8"/>
  <c r="J64" i="8"/>
  <c r="R64" i="8"/>
  <c r="V64" i="8"/>
  <c r="Z64" i="8"/>
  <c r="N64" i="8"/>
  <c r="G64" i="8"/>
  <c r="K64" i="8"/>
  <c r="O64" i="8"/>
  <c r="S64" i="8"/>
  <c r="W64" i="8"/>
  <c r="D64" i="8"/>
  <c r="T64" i="8"/>
  <c r="H64" i="8"/>
  <c r="X64" i="8"/>
  <c r="C64" i="8"/>
  <c r="L64" i="8"/>
  <c r="P64" i="8"/>
  <c r="G66" i="8"/>
  <c r="K66" i="8"/>
  <c r="O66" i="8"/>
  <c r="S66" i="8"/>
  <c r="W66" i="8"/>
  <c r="C66" i="8"/>
  <c r="D66" i="8"/>
  <c r="H66" i="8"/>
  <c r="L66" i="8"/>
  <c r="T66" i="8"/>
  <c r="X66" i="8"/>
  <c r="I66" i="8"/>
  <c r="Q66" i="8"/>
  <c r="Y66" i="8"/>
  <c r="P66" i="8"/>
  <c r="E66" i="8"/>
  <c r="M66" i="8"/>
  <c r="U66" i="8"/>
  <c r="R66" i="8"/>
  <c r="F66" i="8"/>
  <c r="V66" i="8"/>
  <c r="J66" i="8"/>
  <c r="Z66" i="8"/>
  <c r="N66" i="8"/>
  <c r="F69" i="8"/>
  <c r="J69" i="8"/>
  <c r="N69" i="8"/>
  <c r="R69" i="8"/>
  <c r="V69" i="8"/>
  <c r="Z69" i="8"/>
  <c r="G69" i="8"/>
  <c r="O69" i="8"/>
  <c r="S69" i="8"/>
  <c r="C69" i="8"/>
  <c r="K69" i="8"/>
  <c r="W69" i="8"/>
  <c r="T69" i="8"/>
  <c r="E69" i="8"/>
  <c r="M69" i="8"/>
  <c r="U69" i="8"/>
  <c r="H69" i="8"/>
  <c r="P69" i="8"/>
  <c r="X69" i="8"/>
  <c r="I69" i="8"/>
  <c r="Q69" i="8"/>
  <c r="Y69" i="8"/>
  <c r="D69" i="8"/>
  <c r="L69" i="8"/>
  <c r="F65" i="8"/>
  <c r="J65" i="8"/>
  <c r="N65" i="8"/>
  <c r="R65" i="8"/>
  <c r="V65" i="8"/>
  <c r="Z65" i="8"/>
  <c r="G65" i="8"/>
  <c r="K65" i="8"/>
  <c r="O65" i="8"/>
  <c r="W65" i="8"/>
  <c r="C65" i="8"/>
  <c r="H65" i="8"/>
  <c r="P65" i="8"/>
  <c r="X65" i="8"/>
  <c r="S65" i="8"/>
  <c r="D65" i="8"/>
  <c r="L65" i="8"/>
  <c r="T65" i="8"/>
  <c r="M65" i="8"/>
  <c r="Q65" i="8"/>
  <c r="E65" i="8"/>
  <c r="U65" i="8"/>
  <c r="I65" i="8"/>
  <c r="Y65" i="8"/>
  <c r="D50" i="8"/>
  <c r="D48" i="8"/>
  <c r="D49" i="8"/>
  <c r="D47" i="8"/>
  <c r="D46" i="8"/>
  <c r="D45" i="8"/>
  <c r="AA53" i="7"/>
  <c r="AA54" i="7"/>
  <c r="AA56" i="7"/>
  <c r="AA57" i="7"/>
  <c r="AA58" i="7"/>
  <c r="AA59" i="7"/>
  <c r="AA52" i="7"/>
  <c r="P28" i="14" l="1"/>
  <c r="E39" i="8" l="1"/>
  <c r="E38" i="8" l="1"/>
  <c r="E35" i="8" l="1"/>
  <c r="C51" i="8"/>
  <c r="D51" i="8" l="1"/>
  <c r="F51" i="8"/>
  <c r="E51" i="8"/>
  <c r="E37" i="8"/>
  <c r="E36" i="8"/>
  <c r="P70" i="8" l="1"/>
  <c r="C18" i="8" s="1"/>
  <c r="I20" i="11" s="1"/>
  <c r="Y70" i="8"/>
  <c r="C27" i="8" s="1"/>
  <c r="I29" i="11" s="1"/>
  <c r="R70" i="8"/>
  <c r="C20" i="8" s="1"/>
  <c r="I22" i="11" s="1"/>
  <c r="T70" i="8"/>
  <c r="C22" i="8" s="1"/>
  <c r="I24" i="11" s="1"/>
  <c r="Z70" i="8"/>
  <c r="C28" i="8" s="1"/>
  <c r="I30" i="11" s="1"/>
  <c r="Q70" i="8"/>
  <c r="C19" i="8" s="1"/>
  <c r="I21" i="11" s="1"/>
  <c r="D70" i="8"/>
  <c r="C6" i="8" s="1"/>
  <c r="I8" i="11" s="1"/>
  <c r="W70" i="8"/>
  <c r="C25" i="8" s="1"/>
  <c r="I27" i="11" s="1"/>
  <c r="S70" i="8"/>
  <c r="C21" i="8" s="1"/>
  <c r="I23" i="11" s="1"/>
  <c r="O70" i="8"/>
  <c r="C17" i="8" s="1"/>
  <c r="I19" i="11" s="1"/>
  <c r="N70" i="8"/>
  <c r="C16" i="8" s="1"/>
  <c r="I18" i="11" s="1"/>
  <c r="G70" i="8"/>
  <c r="C9" i="8" s="1"/>
  <c r="I11" i="11" s="1"/>
  <c r="L70" i="8"/>
  <c r="C14" i="8" s="1"/>
  <c r="I16" i="11" s="1"/>
  <c r="I70" i="8"/>
  <c r="C11" i="8" s="1"/>
  <c r="I13" i="11" s="1"/>
  <c r="M70" i="8"/>
  <c r="C15" i="8" s="1"/>
  <c r="I17" i="11" s="1"/>
  <c r="U70" i="8"/>
  <c r="C23" i="8" s="1"/>
  <c r="I25" i="11" s="1"/>
  <c r="J70" i="8"/>
  <c r="C12" i="8" s="1"/>
  <c r="I14" i="11" s="1"/>
  <c r="X70" i="8"/>
  <c r="C26" i="8" s="1"/>
  <c r="I28" i="11" s="1"/>
  <c r="E70" i="8"/>
  <c r="C7" i="8" s="1"/>
  <c r="I9" i="11" s="1"/>
  <c r="F70" i="8"/>
  <c r="C8" i="8" s="1"/>
  <c r="I10" i="11" s="1"/>
  <c r="K70" i="8"/>
  <c r="C13" i="8" s="1"/>
  <c r="I15" i="11" s="1"/>
  <c r="V70" i="8"/>
  <c r="C24" i="8" s="1"/>
  <c r="I26" i="11" s="1"/>
  <c r="H70" i="8"/>
  <c r="C10" i="8" s="1"/>
  <c r="I12" i="11" s="1"/>
  <c r="C70" i="8"/>
  <c r="C5" i="8" s="1"/>
  <c r="I7" i="11" l="1"/>
  <c r="C29" i="8"/>
  <c r="C30" i="8" s="1"/>
  <c r="N43" i="7"/>
  <c r="O43" i="7"/>
  <c r="P43" i="7"/>
  <c r="P42" i="7"/>
  <c r="O42" i="7"/>
  <c r="N42" i="7"/>
  <c r="P41" i="7"/>
  <c r="O41" i="7"/>
  <c r="N41" i="7"/>
  <c r="P40" i="7"/>
  <c r="O40" i="7"/>
  <c r="N40" i="7"/>
  <c r="N37" i="7"/>
  <c r="O37" i="7"/>
  <c r="P37" i="7"/>
  <c r="N38" i="7"/>
  <c r="O38" i="7"/>
  <c r="P38" i="7"/>
  <c r="O36" i="7"/>
  <c r="P36" i="7"/>
  <c r="N36" i="7"/>
  <c r="D78" i="7" l="1"/>
  <c r="H78" i="7"/>
  <c r="L78" i="7"/>
  <c r="P78" i="7"/>
  <c r="T78" i="7"/>
  <c r="X78" i="7"/>
  <c r="E78" i="7"/>
  <c r="I78" i="7"/>
  <c r="M78" i="7"/>
  <c r="Q78" i="7"/>
  <c r="U78" i="7"/>
  <c r="Y78" i="7"/>
  <c r="F78" i="7"/>
  <c r="N78" i="7"/>
  <c r="V78" i="7"/>
  <c r="J78" i="7"/>
  <c r="Z78" i="7"/>
  <c r="G78" i="7"/>
  <c r="O78" i="7"/>
  <c r="W78" i="7"/>
  <c r="C78" i="7"/>
  <c r="R78" i="7"/>
  <c r="K78" i="7"/>
  <c r="S78" i="7"/>
  <c r="F70" i="7"/>
  <c r="J70" i="7"/>
  <c r="N70" i="7"/>
  <c r="R70" i="7"/>
  <c r="H70" i="7"/>
  <c r="M70" i="7"/>
  <c r="S70" i="7"/>
  <c r="W70" i="7"/>
  <c r="C70" i="7"/>
  <c r="K70" i="7"/>
  <c r="U70" i="7"/>
  <c r="D70" i="7"/>
  <c r="I70" i="7"/>
  <c r="O70" i="7"/>
  <c r="T70" i="7"/>
  <c r="X70" i="7"/>
  <c r="E70" i="7"/>
  <c r="P70" i="7"/>
  <c r="Y70" i="7"/>
  <c r="G70" i="7"/>
  <c r="Z70" i="7"/>
  <c r="V70" i="7"/>
  <c r="L70" i="7"/>
  <c r="Q70" i="7"/>
  <c r="F64" i="7"/>
  <c r="J64" i="7"/>
  <c r="N64" i="7"/>
  <c r="R64" i="7"/>
  <c r="V64" i="7"/>
  <c r="Z64" i="7"/>
  <c r="G64" i="7"/>
  <c r="K64" i="7"/>
  <c r="O64" i="7"/>
  <c r="S64" i="7"/>
  <c r="W64" i="7"/>
  <c r="C64" i="7"/>
  <c r="E64" i="7"/>
  <c r="M64" i="7"/>
  <c r="U64" i="7"/>
  <c r="D64" i="7"/>
  <c r="T64" i="7"/>
  <c r="H64" i="7"/>
  <c r="P64" i="7"/>
  <c r="X64" i="7"/>
  <c r="I64" i="7"/>
  <c r="Q64" i="7"/>
  <c r="Y64" i="7"/>
  <c r="L64" i="7"/>
  <c r="E65" i="7"/>
  <c r="I65" i="7"/>
  <c r="M65" i="7"/>
  <c r="Q65" i="7"/>
  <c r="U65" i="7"/>
  <c r="Y65" i="7"/>
  <c r="F65" i="7"/>
  <c r="J65" i="7"/>
  <c r="N65" i="7"/>
  <c r="R65" i="7"/>
  <c r="V65" i="7"/>
  <c r="Z65" i="7"/>
  <c r="H65" i="7"/>
  <c r="P65" i="7"/>
  <c r="X65" i="7"/>
  <c r="O65" i="7"/>
  <c r="K65" i="7"/>
  <c r="S65" i="7"/>
  <c r="C65" i="7"/>
  <c r="D65" i="7"/>
  <c r="L65" i="7"/>
  <c r="T65" i="7"/>
  <c r="G65" i="7"/>
  <c r="W65" i="7"/>
  <c r="D71" i="7"/>
  <c r="H71" i="7"/>
  <c r="L71" i="7"/>
  <c r="P71" i="7"/>
  <c r="T71" i="7"/>
  <c r="X71" i="7"/>
  <c r="F71" i="7"/>
  <c r="N71" i="7"/>
  <c r="E71" i="7"/>
  <c r="I71" i="7"/>
  <c r="M71" i="7"/>
  <c r="Q71" i="7"/>
  <c r="U71" i="7"/>
  <c r="Y71" i="7"/>
  <c r="J71" i="7"/>
  <c r="R71" i="7"/>
  <c r="S71" i="7"/>
  <c r="C71" i="7"/>
  <c r="Z71" i="7"/>
  <c r="G71" i="7"/>
  <c r="V71" i="7"/>
  <c r="K71" i="7"/>
  <c r="W71" i="7"/>
  <c r="O71" i="7"/>
  <c r="F96" i="7"/>
  <c r="J96" i="7"/>
  <c r="N96" i="7"/>
  <c r="R96" i="7"/>
  <c r="V96" i="7"/>
  <c r="Z96" i="7"/>
  <c r="G96" i="7"/>
  <c r="K96" i="7"/>
  <c r="O96" i="7"/>
  <c r="S96" i="7"/>
  <c r="W96" i="7"/>
  <c r="H96" i="7"/>
  <c r="P96" i="7"/>
  <c r="X96" i="7"/>
  <c r="C96" i="7"/>
  <c r="D96" i="7"/>
  <c r="I96" i="7"/>
  <c r="Q96" i="7"/>
  <c r="Y96" i="7"/>
  <c r="L96" i="7"/>
  <c r="T96" i="7"/>
  <c r="E96" i="7"/>
  <c r="M96" i="7"/>
  <c r="U96" i="7"/>
  <c r="F92" i="7"/>
  <c r="J92" i="7"/>
  <c r="N92" i="7"/>
  <c r="R92" i="7"/>
  <c r="V92" i="7"/>
  <c r="Z92" i="7"/>
  <c r="G92" i="7"/>
  <c r="K92" i="7"/>
  <c r="O92" i="7"/>
  <c r="S92" i="7"/>
  <c r="W92" i="7"/>
  <c r="C92" i="7"/>
  <c r="D92" i="7"/>
  <c r="L92" i="7"/>
  <c r="T92" i="7"/>
  <c r="H92" i="7"/>
  <c r="X92" i="7"/>
  <c r="E92" i="7"/>
  <c r="M92" i="7"/>
  <c r="U92" i="7"/>
  <c r="P92" i="7"/>
  <c r="I92" i="7"/>
  <c r="Q92" i="7"/>
  <c r="Y92" i="7"/>
  <c r="D94" i="7"/>
  <c r="H94" i="7"/>
  <c r="L94" i="7"/>
  <c r="P94" i="7"/>
  <c r="T94" i="7"/>
  <c r="X94" i="7"/>
  <c r="C94" i="7"/>
  <c r="E94" i="7"/>
  <c r="I94" i="7"/>
  <c r="M94" i="7"/>
  <c r="Q94" i="7"/>
  <c r="U94" i="7"/>
  <c r="Y94" i="7"/>
  <c r="F94" i="7"/>
  <c r="N94" i="7"/>
  <c r="V94" i="7"/>
  <c r="G94" i="7"/>
  <c r="O94" i="7"/>
  <c r="W94" i="7"/>
  <c r="J94" i="7"/>
  <c r="R94" i="7"/>
  <c r="Z94" i="7"/>
  <c r="K94" i="7"/>
  <c r="S94" i="7"/>
  <c r="E84" i="7"/>
  <c r="I84" i="7"/>
  <c r="M84" i="7"/>
  <c r="Q84" i="7"/>
  <c r="U84" i="7"/>
  <c r="Y84" i="7"/>
  <c r="O84" i="7"/>
  <c r="W84" i="7"/>
  <c r="H84" i="7"/>
  <c r="P84" i="7"/>
  <c r="X84" i="7"/>
  <c r="F84" i="7"/>
  <c r="J84" i="7"/>
  <c r="N84" i="7"/>
  <c r="R84" i="7"/>
  <c r="V84" i="7"/>
  <c r="Z84" i="7"/>
  <c r="G84" i="7"/>
  <c r="K84" i="7"/>
  <c r="S84" i="7"/>
  <c r="D84" i="7"/>
  <c r="L84" i="7"/>
  <c r="T84" i="7"/>
  <c r="C84" i="7"/>
  <c r="E79" i="7"/>
  <c r="I79" i="7"/>
  <c r="M79" i="7"/>
  <c r="Q79" i="7"/>
  <c r="U79" i="7"/>
  <c r="Y79" i="7"/>
  <c r="F79" i="7"/>
  <c r="J79" i="7"/>
  <c r="N79" i="7"/>
  <c r="R79" i="7"/>
  <c r="V79" i="7"/>
  <c r="Z79" i="7"/>
  <c r="G79" i="7"/>
  <c r="O79" i="7"/>
  <c r="W79" i="7"/>
  <c r="C79" i="7"/>
  <c r="S79" i="7"/>
  <c r="H79" i="7"/>
  <c r="P79" i="7"/>
  <c r="X79" i="7"/>
  <c r="K79" i="7"/>
  <c r="L79" i="7"/>
  <c r="D79" i="7"/>
  <c r="T79" i="7"/>
  <c r="D69" i="7"/>
  <c r="H69" i="7"/>
  <c r="L69" i="7"/>
  <c r="P69" i="7"/>
  <c r="T69" i="7"/>
  <c r="X69" i="7"/>
  <c r="E69" i="7"/>
  <c r="I69" i="7"/>
  <c r="M69" i="7"/>
  <c r="Q69" i="7"/>
  <c r="U69" i="7"/>
  <c r="Y69" i="7"/>
  <c r="J69" i="7"/>
  <c r="R69" i="7"/>
  <c r="Z69" i="7"/>
  <c r="N69" i="7"/>
  <c r="K69" i="7"/>
  <c r="S69" i="7"/>
  <c r="C69" i="7"/>
  <c r="F69" i="7"/>
  <c r="V69" i="7"/>
  <c r="G69" i="7"/>
  <c r="O69" i="7"/>
  <c r="W69" i="7"/>
  <c r="D83" i="7"/>
  <c r="H83" i="7"/>
  <c r="L83" i="7"/>
  <c r="P83" i="7"/>
  <c r="T83" i="7"/>
  <c r="X83" i="7"/>
  <c r="F83" i="7"/>
  <c r="N83" i="7"/>
  <c r="V83" i="7"/>
  <c r="Z83" i="7"/>
  <c r="G83" i="7"/>
  <c r="O83" i="7"/>
  <c r="W83" i="7"/>
  <c r="E83" i="7"/>
  <c r="I83" i="7"/>
  <c r="M83" i="7"/>
  <c r="Q83" i="7"/>
  <c r="U83" i="7"/>
  <c r="Y83" i="7"/>
  <c r="J83" i="7"/>
  <c r="R83" i="7"/>
  <c r="K83" i="7"/>
  <c r="S83" i="7"/>
  <c r="C83" i="7"/>
  <c r="D90" i="7"/>
  <c r="H90" i="7"/>
  <c r="L90" i="7"/>
  <c r="P90" i="7"/>
  <c r="T90" i="7"/>
  <c r="X90" i="7"/>
  <c r="E90" i="7"/>
  <c r="I90" i="7"/>
  <c r="M90" i="7"/>
  <c r="Q90" i="7"/>
  <c r="U90" i="7"/>
  <c r="Y90" i="7"/>
  <c r="J90" i="7"/>
  <c r="R90" i="7"/>
  <c r="Z90" i="7"/>
  <c r="V90" i="7"/>
  <c r="K90" i="7"/>
  <c r="S90" i="7"/>
  <c r="F90" i="7"/>
  <c r="N90" i="7"/>
  <c r="O90" i="7"/>
  <c r="C90" i="7"/>
  <c r="W90" i="7"/>
  <c r="G90" i="7"/>
  <c r="G66" i="7"/>
  <c r="K66" i="7"/>
  <c r="O66" i="7"/>
  <c r="S66" i="7"/>
  <c r="W66" i="7"/>
  <c r="C66" i="7"/>
  <c r="D66" i="7"/>
  <c r="H66" i="7"/>
  <c r="L66" i="7"/>
  <c r="P66" i="7"/>
  <c r="T66" i="7"/>
  <c r="X66" i="7"/>
  <c r="I66" i="7"/>
  <c r="Q66" i="7"/>
  <c r="Y66" i="7"/>
  <c r="E66" i="7"/>
  <c r="M66" i="7"/>
  <c r="J66" i="7"/>
  <c r="R66" i="7"/>
  <c r="Z66" i="7"/>
  <c r="U66" i="7"/>
  <c r="N66" i="7"/>
  <c r="V66" i="7"/>
  <c r="F66" i="7"/>
  <c r="G68" i="7"/>
  <c r="K68" i="7"/>
  <c r="O68" i="7"/>
  <c r="S68" i="7"/>
  <c r="W68" i="7"/>
  <c r="D68" i="7"/>
  <c r="H68" i="7"/>
  <c r="L68" i="7"/>
  <c r="P68" i="7"/>
  <c r="T68" i="7"/>
  <c r="X68" i="7"/>
  <c r="I68" i="7"/>
  <c r="Q68" i="7"/>
  <c r="Y68" i="7"/>
  <c r="E68" i="7"/>
  <c r="U68" i="7"/>
  <c r="J68" i="7"/>
  <c r="R68" i="7"/>
  <c r="Z68" i="7"/>
  <c r="M68" i="7"/>
  <c r="V68" i="7"/>
  <c r="N68" i="7"/>
  <c r="C68" i="7"/>
  <c r="F68" i="7"/>
  <c r="G82" i="7"/>
  <c r="K82" i="7"/>
  <c r="O82" i="7"/>
  <c r="S82" i="7"/>
  <c r="W82" i="7"/>
  <c r="E82" i="7"/>
  <c r="M82" i="7"/>
  <c r="U82" i="7"/>
  <c r="J82" i="7"/>
  <c r="R82" i="7"/>
  <c r="D82" i="7"/>
  <c r="H82" i="7"/>
  <c r="L82" i="7"/>
  <c r="P82" i="7"/>
  <c r="T82" i="7"/>
  <c r="X82" i="7"/>
  <c r="I82" i="7"/>
  <c r="Q82" i="7"/>
  <c r="Y82" i="7"/>
  <c r="F82" i="7"/>
  <c r="N82" i="7"/>
  <c r="V82" i="7"/>
  <c r="Z82" i="7"/>
  <c r="C82" i="7"/>
  <c r="G77" i="7"/>
  <c r="K77" i="7"/>
  <c r="O77" i="7"/>
  <c r="S77" i="7"/>
  <c r="W77" i="7"/>
  <c r="C77" i="7"/>
  <c r="D77" i="7"/>
  <c r="H77" i="7"/>
  <c r="L77" i="7"/>
  <c r="P77" i="7"/>
  <c r="T77" i="7"/>
  <c r="X77" i="7"/>
  <c r="E77" i="7"/>
  <c r="M77" i="7"/>
  <c r="U77" i="7"/>
  <c r="I77" i="7"/>
  <c r="Q77" i="7"/>
  <c r="F77" i="7"/>
  <c r="N77" i="7"/>
  <c r="V77" i="7"/>
  <c r="Y77" i="7"/>
  <c r="Z77" i="7"/>
  <c r="J77" i="7"/>
  <c r="R77" i="7"/>
  <c r="E91" i="7"/>
  <c r="I91" i="7"/>
  <c r="M91" i="7"/>
  <c r="Q91" i="7"/>
  <c r="U91" i="7"/>
  <c r="Y91" i="7"/>
  <c r="F91" i="7"/>
  <c r="J91" i="7"/>
  <c r="N91" i="7"/>
  <c r="R91" i="7"/>
  <c r="V91" i="7"/>
  <c r="Z91" i="7"/>
  <c r="K91" i="7"/>
  <c r="S91" i="7"/>
  <c r="O91" i="7"/>
  <c r="D91" i="7"/>
  <c r="L91" i="7"/>
  <c r="T91" i="7"/>
  <c r="G91" i="7"/>
  <c r="W91" i="7"/>
  <c r="C91" i="7"/>
  <c r="X91" i="7"/>
  <c r="H91" i="7"/>
  <c r="P91" i="7"/>
  <c r="F81" i="7"/>
  <c r="J81" i="7"/>
  <c r="N81" i="7"/>
  <c r="R81" i="7"/>
  <c r="V81" i="7"/>
  <c r="Z81" i="7"/>
  <c r="D81" i="7"/>
  <c r="L81" i="7"/>
  <c r="T81" i="7"/>
  <c r="E81" i="7"/>
  <c r="Q81" i="7"/>
  <c r="Y81" i="7"/>
  <c r="G81" i="7"/>
  <c r="K81" i="7"/>
  <c r="O81" i="7"/>
  <c r="S81" i="7"/>
  <c r="W81" i="7"/>
  <c r="H81" i="7"/>
  <c r="P81" i="7"/>
  <c r="X81" i="7"/>
  <c r="I81" i="7"/>
  <c r="M81" i="7"/>
  <c r="U81" i="7"/>
  <c r="C81" i="7"/>
  <c r="E95" i="7"/>
  <c r="I95" i="7"/>
  <c r="M95" i="7"/>
  <c r="Q95" i="7"/>
  <c r="U95" i="7"/>
  <c r="Y95" i="7"/>
  <c r="F95" i="7"/>
  <c r="J95" i="7"/>
  <c r="N95" i="7"/>
  <c r="R95" i="7"/>
  <c r="V95" i="7"/>
  <c r="Z95" i="7"/>
  <c r="G95" i="7"/>
  <c r="O95" i="7"/>
  <c r="W95" i="7"/>
  <c r="H95" i="7"/>
  <c r="P95" i="7"/>
  <c r="X95" i="7"/>
  <c r="C95" i="7"/>
  <c r="K95" i="7"/>
  <c r="S95" i="7"/>
  <c r="T95" i="7"/>
  <c r="D95" i="7"/>
  <c r="L95" i="7"/>
  <c r="G97" i="7"/>
  <c r="K97" i="7"/>
  <c r="O97" i="7"/>
  <c r="S97" i="7"/>
  <c r="W97" i="7"/>
  <c r="D97" i="7"/>
  <c r="H97" i="7"/>
  <c r="L97" i="7"/>
  <c r="P97" i="7"/>
  <c r="T97" i="7"/>
  <c r="X97" i="7"/>
  <c r="C97" i="7"/>
  <c r="I97" i="7"/>
  <c r="Q97" i="7"/>
  <c r="Y97" i="7"/>
  <c r="U97" i="7"/>
  <c r="J97" i="7"/>
  <c r="R97" i="7"/>
  <c r="Z97" i="7"/>
  <c r="E97" i="7"/>
  <c r="M97" i="7"/>
  <c r="F97" i="7"/>
  <c r="N97" i="7"/>
  <c r="V97" i="7"/>
  <c r="I33" i="11"/>
  <c r="I34" i="11"/>
  <c r="AA91" i="7" l="1"/>
  <c r="AB91" i="7" s="1"/>
  <c r="AC91" i="7" s="1"/>
  <c r="AA78" i="7"/>
  <c r="AB78" i="7" s="1"/>
  <c r="AC78" i="7" s="1"/>
  <c r="AA97" i="7"/>
  <c r="AB97" i="7" s="1"/>
  <c r="AC97" i="7" s="1"/>
  <c r="AA79" i="7"/>
  <c r="AB79" i="7" s="1"/>
  <c r="AC79" i="7" s="1"/>
  <c r="AA92" i="7"/>
  <c r="AB92" i="7" s="1"/>
  <c r="AC92" i="7" s="1"/>
  <c r="AA95" i="7"/>
  <c r="AB95" i="7" s="1"/>
  <c r="AC95" i="7" s="1"/>
  <c r="AA69" i="7"/>
  <c r="AB69" i="7" s="1"/>
  <c r="AC69" i="7" s="1"/>
  <c r="AA94" i="7"/>
  <c r="AB94" i="7" s="1"/>
  <c r="AC94" i="7" s="1"/>
  <c r="AA96" i="7"/>
  <c r="AB96" i="7" s="1"/>
  <c r="AC96" i="7" s="1"/>
  <c r="AA65" i="7"/>
  <c r="AB65" i="7" s="1"/>
  <c r="AC65" i="7" s="1"/>
  <c r="AA81" i="7"/>
  <c r="AB81" i="7" s="1"/>
  <c r="AC81" i="7" s="1"/>
  <c r="AA82" i="7"/>
  <c r="AB82" i="7" s="1"/>
  <c r="AC82" i="7" s="1"/>
  <c r="AA83" i="7"/>
  <c r="AB83" i="7" s="1"/>
  <c r="AC83" i="7" s="1"/>
  <c r="AA84" i="7"/>
  <c r="AB84" i="7" s="1"/>
  <c r="AC84" i="7" s="1"/>
  <c r="AA70" i="7"/>
  <c r="AB70" i="7" s="1"/>
  <c r="AC70" i="7" s="1"/>
  <c r="AA77" i="7"/>
  <c r="AA68" i="7"/>
  <c r="AB68" i="7" s="1"/>
  <c r="AC68" i="7" s="1"/>
  <c r="AA66" i="7"/>
  <c r="AB66" i="7" s="1"/>
  <c r="AC66" i="7" s="1"/>
  <c r="AA90" i="7"/>
  <c r="AA71" i="7"/>
  <c r="AB71" i="7" s="1"/>
  <c r="AC71" i="7" s="1"/>
  <c r="AA64" i="7"/>
  <c r="AB64" i="7" s="1"/>
  <c r="AC64" i="7" s="1"/>
  <c r="J85" i="7"/>
  <c r="D12" i="7" s="1"/>
  <c r="T85" i="7"/>
  <c r="D22" i="7" s="1"/>
  <c r="D85" i="7"/>
  <c r="D6" i="7" s="1"/>
  <c r="K85" i="7"/>
  <c r="D13" i="7" s="1"/>
  <c r="C85" i="7"/>
  <c r="D5" i="7" s="1"/>
  <c r="J72" i="7"/>
  <c r="J98" i="7"/>
  <c r="E12" i="7" s="1"/>
  <c r="I85" i="7"/>
  <c r="D11" i="7" s="1"/>
  <c r="X85" i="7"/>
  <c r="D26" i="7" s="1"/>
  <c r="H85" i="7"/>
  <c r="D10" i="7" s="1"/>
  <c r="O85" i="7"/>
  <c r="D17" i="7" s="1"/>
  <c r="U85" i="7"/>
  <c r="D23" i="7" s="1"/>
  <c r="M72" i="7"/>
  <c r="C15" i="7" s="1"/>
  <c r="W72" i="7"/>
  <c r="C25" i="7" s="1"/>
  <c r="E72" i="7"/>
  <c r="C7" i="7" s="1"/>
  <c r="I72" i="7"/>
  <c r="C11" i="7" s="1"/>
  <c r="F98" i="7"/>
  <c r="E8" i="7" s="1"/>
  <c r="R85" i="7"/>
  <c r="D20" i="7" s="1"/>
  <c r="E98" i="7"/>
  <c r="E7" i="7" s="1"/>
  <c r="E85" i="7"/>
  <c r="D7" i="7" s="1"/>
  <c r="Z85" i="7"/>
  <c r="D28" i="7" s="1"/>
  <c r="Q98" i="7"/>
  <c r="E19" i="7" s="1"/>
  <c r="H98" i="7"/>
  <c r="E10" i="7" s="1"/>
  <c r="G72" i="7"/>
  <c r="C9" i="7" s="1"/>
  <c r="C98" i="7"/>
  <c r="E5" i="7" s="1"/>
  <c r="O72" i="7"/>
  <c r="L72" i="7"/>
  <c r="C14" i="7" s="1"/>
  <c r="Y72" i="7"/>
  <c r="C27" i="7" s="1"/>
  <c r="R72" i="7"/>
  <c r="C20" i="7" s="1"/>
  <c r="P72" i="7"/>
  <c r="C18" i="7" s="1"/>
  <c r="U72" i="7"/>
  <c r="Z98" i="7"/>
  <c r="E28" i="7" s="1"/>
  <c r="Y85" i="7"/>
  <c r="D27" i="7" s="1"/>
  <c r="M85" i="7"/>
  <c r="D15" i="7" s="1"/>
  <c r="P85" i="7"/>
  <c r="D18" i="7" s="1"/>
  <c r="W85" i="7"/>
  <c r="D25" i="7" s="1"/>
  <c r="G85" i="7"/>
  <c r="D9" i="7" s="1"/>
  <c r="W98" i="7"/>
  <c r="E25" i="7" s="1"/>
  <c r="M98" i="7"/>
  <c r="E15" i="7" s="1"/>
  <c r="T98" i="7"/>
  <c r="E22" i="7" s="1"/>
  <c r="D98" i="7"/>
  <c r="E6" i="7" s="1"/>
  <c r="Z72" i="7"/>
  <c r="S98" i="7"/>
  <c r="E21" i="7" s="1"/>
  <c r="U98" i="7"/>
  <c r="E23" i="7" s="1"/>
  <c r="L98" i="7"/>
  <c r="E14" i="7" s="1"/>
  <c r="N85" i="7"/>
  <c r="D16" i="7" s="1"/>
  <c r="K72" i="7"/>
  <c r="C13" i="7" s="1"/>
  <c r="D72" i="7"/>
  <c r="C6" i="7" s="1"/>
  <c r="Q72" i="7"/>
  <c r="C19" i="7" s="1"/>
  <c r="N72" i="7"/>
  <c r="H72" i="7"/>
  <c r="C10" i="7" s="1"/>
  <c r="R98" i="7"/>
  <c r="E20" i="7" s="1"/>
  <c r="Q85" i="7"/>
  <c r="D19" i="7" s="1"/>
  <c r="V98" i="7"/>
  <c r="E24" i="7" s="1"/>
  <c r="G98" i="7"/>
  <c r="E9" i="7" s="1"/>
  <c r="N98" i="7"/>
  <c r="E16" i="7" s="1"/>
  <c r="O98" i="7"/>
  <c r="E17" i="7" s="1"/>
  <c r="X98" i="7"/>
  <c r="E26" i="7" s="1"/>
  <c r="C72" i="7"/>
  <c r="C5" i="7" s="1"/>
  <c r="S72" i="7"/>
  <c r="C21" i="7" s="1"/>
  <c r="T72" i="7"/>
  <c r="C22" i="7" s="1"/>
  <c r="F72" i="7"/>
  <c r="V72" i="7"/>
  <c r="C24" i="7" s="1"/>
  <c r="X72" i="7"/>
  <c r="C26" i="7" s="1"/>
  <c r="L85" i="7"/>
  <c r="D14" i="7" s="1"/>
  <c r="S85" i="7"/>
  <c r="D21" i="7" s="1"/>
  <c r="K98" i="7"/>
  <c r="E13" i="7" s="1"/>
  <c r="Y98" i="7"/>
  <c r="E27" i="7" s="1"/>
  <c r="I98" i="7"/>
  <c r="E11" i="7" s="1"/>
  <c r="P98" i="7"/>
  <c r="E18" i="7" s="1"/>
  <c r="V85" i="7"/>
  <c r="D24" i="7" s="1"/>
  <c r="F85" i="7"/>
  <c r="D8" i="7" s="1"/>
  <c r="I31" i="11"/>
  <c r="I32" i="11" s="1"/>
  <c r="AA98" i="7" l="1"/>
  <c r="AB90" i="7"/>
  <c r="AB77" i="7"/>
  <c r="AA85" i="7"/>
  <c r="C8" i="7"/>
  <c r="F8" i="7" s="1"/>
  <c r="D33" i="14" s="1"/>
  <c r="F32" i="14" s="1"/>
  <c r="C16" i="7"/>
  <c r="F16" i="7" s="1"/>
  <c r="D41" i="14" s="1"/>
  <c r="G42" i="14" s="1"/>
  <c r="F28" i="7"/>
  <c r="D53" i="14" s="1"/>
  <c r="D58" i="14" s="1"/>
  <c r="C28" i="7"/>
  <c r="C17" i="7"/>
  <c r="F17" i="7" s="1"/>
  <c r="D42" i="14" s="1"/>
  <c r="F41" i="14" s="1"/>
  <c r="C12" i="7"/>
  <c r="F12" i="7" s="1"/>
  <c r="D37" i="14" s="1"/>
  <c r="J34" i="14" s="1"/>
  <c r="C23" i="7"/>
  <c r="F23" i="7" s="1"/>
  <c r="D48" i="14" s="1"/>
  <c r="O53" i="14" s="1"/>
  <c r="F25" i="7"/>
  <c r="D50" i="14" s="1"/>
  <c r="F24" i="7"/>
  <c r="D49" i="14" s="1"/>
  <c r="F5" i="7"/>
  <c r="F10" i="7"/>
  <c r="D35" i="14" s="1"/>
  <c r="F13" i="7"/>
  <c r="D38" i="14" s="1"/>
  <c r="F14" i="7"/>
  <c r="D39" i="14" s="1"/>
  <c r="F7" i="7"/>
  <c r="D32" i="14" s="1"/>
  <c r="F18" i="7"/>
  <c r="D43" i="14" s="1"/>
  <c r="F22" i="7"/>
  <c r="D47" i="14" s="1"/>
  <c r="F19" i="7"/>
  <c r="D44" i="14" s="1"/>
  <c r="F20" i="7"/>
  <c r="D45" i="14" s="1"/>
  <c r="E29" i="7"/>
  <c r="E30" i="7" s="1"/>
  <c r="F15" i="7"/>
  <c r="D40" i="14" s="1"/>
  <c r="D29" i="7"/>
  <c r="D30" i="7" s="1"/>
  <c r="F26" i="7"/>
  <c r="D51" i="14" s="1"/>
  <c r="F21" i="7"/>
  <c r="D46" i="14" s="1"/>
  <c r="F6" i="7"/>
  <c r="D31" i="14" s="1"/>
  <c r="F27" i="7"/>
  <c r="D52" i="14" s="1"/>
  <c r="F9" i="7"/>
  <c r="D34" i="14" s="1"/>
  <c r="F11" i="7"/>
  <c r="D36" i="14" s="1"/>
  <c r="AA72" i="7"/>
  <c r="C29" i="7" l="1"/>
  <c r="C30" i="7" s="1"/>
  <c r="AB85" i="7"/>
  <c r="AC77" i="7"/>
  <c r="AC85" i="7" s="1"/>
  <c r="AC90" i="7"/>
  <c r="AC98" i="7" s="1"/>
  <c r="AB98" i="7"/>
  <c r="K36" i="14"/>
  <c r="J38" i="14"/>
  <c r="E48" i="14"/>
  <c r="I44" i="14"/>
  <c r="L49" i="14"/>
  <c r="F47" i="14"/>
  <c r="F40" i="14"/>
  <c r="D62" i="14"/>
  <c r="N52" i="14" s="1"/>
  <c r="G43" i="14"/>
  <c r="O42" i="14"/>
  <c r="J30" i="14"/>
  <c r="M52" i="14"/>
  <c r="J39" i="14"/>
  <c r="K44" i="14"/>
  <c r="H51" i="14"/>
  <c r="G34" i="14"/>
  <c r="F36" i="14"/>
  <c r="G38" i="14"/>
  <c r="J45" i="14"/>
  <c r="H40" i="14"/>
  <c r="I43" i="14"/>
  <c r="M41" i="14"/>
  <c r="H35" i="14"/>
  <c r="E53" i="14"/>
  <c r="E33" i="14"/>
  <c r="E37" i="14"/>
  <c r="I50" i="14"/>
  <c r="N43" i="14"/>
  <c r="L38" i="14"/>
  <c r="E41" i="14"/>
  <c r="N36" i="14"/>
  <c r="J50" i="14"/>
  <c r="F52" i="14"/>
  <c r="M37" i="14"/>
  <c r="O38" i="14"/>
  <c r="H31" i="14"/>
  <c r="L33" i="14"/>
  <c r="K40" i="14"/>
  <c r="N32" i="14"/>
  <c r="L44" i="14"/>
  <c r="K51" i="14"/>
  <c r="M46" i="14"/>
  <c r="O47" i="14"/>
  <c r="E42" i="14"/>
  <c r="M45" i="14"/>
  <c r="O46" i="14"/>
  <c r="N48" i="14"/>
  <c r="I35" i="14"/>
  <c r="I39" i="14"/>
  <c r="H46" i="14"/>
  <c r="G49" i="14"/>
  <c r="N37" i="14"/>
  <c r="K45" i="14"/>
  <c r="H39" i="14"/>
  <c r="L37" i="14"/>
  <c r="N47" i="14"/>
  <c r="L48" i="14"/>
  <c r="E52" i="14"/>
  <c r="G53" i="14"/>
  <c r="H50" i="14"/>
  <c r="J49" i="14"/>
  <c r="F51" i="14"/>
  <c r="D57" i="14"/>
  <c r="L41" i="14"/>
  <c r="I47" i="14"/>
  <c r="M49" i="14"/>
  <c r="K48" i="14"/>
  <c r="F44" i="14"/>
  <c r="H43" i="14"/>
  <c r="E45" i="14"/>
  <c r="J42" i="14"/>
  <c r="N40" i="14"/>
  <c r="G46" i="14"/>
  <c r="O50" i="14"/>
  <c r="J36" i="14"/>
  <c r="G40" i="14"/>
  <c r="H37" i="14"/>
  <c r="K42" i="14"/>
  <c r="O44" i="14"/>
  <c r="L35" i="14"/>
  <c r="N34" i="14"/>
  <c r="M43" i="14"/>
  <c r="I41" i="14"/>
  <c r="E39" i="14"/>
  <c r="F38" i="14"/>
  <c r="L34" i="14"/>
  <c r="I40" i="14"/>
  <c r="M42" i="14"/>
  <c r="J35" i="14"/>
  <c r="F37" i="14"/>
  <c r="N33" i="14"/>
  <c r="G39" i="14"/>
  <c r="E38" i="14"/>
  <c r="O43" i="14"/>
  <c r="H36" i="14"/>
  <c r="K41" i="14"/>
  <c r="D54" i="14"/>
  <c r="F48" i="14"/>
  <c r="L45" i="14"/>
  <c r="H47" i="14"/>
  <c r="N44" i="14"/>
  <c r="G50" i="14"/>
  <c r="K52" i="14"/>
  <c r="I51" i="14"/>
  <c r="M53" i="14"/>
  <c r="E49" i="14"/>
  <c r="J46" i="14"/>
  <c r="D60" i="14"/>
  <c r="M35" i="14"/>
  <c r="I33" i="14"/>
  <c r="G32" i="14"/>
  <c r="E31" i="14"/>
  <c r="K34" i="14"/>
  <c r="O36" i="14"/>
  <c r="F30" i="14"/>
  <c r="F43" i="14"/>
  <c r="O49" i="14"/>
  <c r="L40" i="14"/>
  <c r="E44" i="14"/>
  <c r="H42" i="14"/>
  <c r="I46" i="14"/>
  <c r="J41" i="14"/>
  <c r="K47" i="14"/>
  <c r="N39" i="14"/>
  <c r="G45" i="14"/>
  <c r="M48" i="14"/>
  <c r="H33" i="14"/>
  <c r="L31" i="14"/>
  <c r="N30" i="14"/>
  <c r="G36" i="14"/>
  <c r="K38" i="14"/>
  <c r="O40" i="14"/>
  <c r="E35" i="14"/>
  <c r="F34" i="14"/>
  <c r="M39" i="14"/>
  <c r="I37" i="14"/>
  <c r="J32" i="14"/>
  <c r="AC72" i="7"/>
  <c r="L32" i="14"/>
  <c r="O41" i="14"/>
  <c r="K39" i="14"/>
  <c r="E36" i="14"/>
  <c r="G37" i="14"/>
  <c r="M40" i="14"/>
  <c r="N31" i="14"/>
  <c r="F35" i="14"/>
  <c r="H34" i="14"/>
  <c r="I38" i="14"/>
  <c r="J33" i="14"/>
  <c r="J43" i="14"/>
  <c r="O51" i="14"/>
  <c r="N41" i="14"/>
  <c r="K49" i="14"/>
  <c r="L42" i="14"/>
  <c r="E46" i="14"/>
  <c r="M50" i="14"/>
  <c r="F45" i="14"/>
  <c r="I48" i="14"/>
  <c r="H44" i="14"/>
  <c r="G47" i="14"/>
  <c r="J37" i="14"/>
  <c r="H38" i="14"/>
  <c r="G41" i="14"/>
  <c r="N35" i="14"/>
  <c r="M44" i="14"/>
  <c r="F39" i="14"/>
  <c r="I42" i="14"/>
  <c r="E40" i="14"/>
  <c r="O45" i="14"/>
  <c r="L36" i="14"/>
  <c r="K43" i="14"/>
  <c r="H45" i="14"/>
  <c r="M51" i="14"/>
  <c r="I49" i="14"/>
  <c r="F46" i="14"/>
  <c r="N42" i="14"/>
  <c r="J44" i="14"/>
  <c r="E47" i="14"/>
  <c r="G48" i="14"/>
  <c r="K50" i="14"/>
  <c r="L43" i="14"/>
  <c r="O52" i="14"/>
  <c r="H41" i="14"/>
  <c r="K46" i="14"/>
  <c r="O48" i="14"/>
  <c r="N38" i="14"/>
  <c r="M47" i="14"/>
  <c r="I45" i="14"/>
  <c r="G44" i="14"/>
  <c r="E43" i="14"/>
  <c r="F42" i="14"/>
  <c r="J40" i="14"/>
  <c r="L39" i="14"/>
  <c r="D30" i="14"/>
  <c r="F29" i="7"/>
  <c r="F30" i="7" s="1"/>
  <c r="J47" i="14"/>
  <c r="K53" i="14"/>
  <c r="E50" i="14"/>
  <c r="I52" i="14"/>
  <c r="N45" i="14"/>
  <c r="H48" i="14"/>
  <c r="G51" i="14"/>
  <c r="F49" i="14"/>
  <c r="L46" i="14"/>
  <c r="D55" i="14"/>
  <c r="E34" i="14"/>
  <c r="D63" i="14"/>
  <c r="N53" i="14" s="1"/>
  <c r="K37" i="14"/>
  <c r="L30" i="14"/>
  <c r="M38" i="14"/>
  <c r="F33" i="14"/>
  <c r="G35" i="14"/>
  <c r="J31" i="14"/>
  <c r="O39" i="14"/>
  <c r="I36" i="14"/>
  <c r="H32" i="14"/>
  <c r="H49" i="14"/>
  <c r="J48" i="14"/>
  <c r="G52" i="14"/>
  <c r="D56" i="14"/>
  <c r="N46" i="14"/>
  <c r="E51" i="14"/>
  <c r="F50" i="14"/>
  <c r="I53" i="14"/>
  <c r="L47" i="14"/>
  <c r="E32" i="14"/>
  <c r="I34" i="14"/>
  <c r="D61" i="14"/>
  <c r="H30" i="14"/>
  <c r="F31" i="14"/>
  <c r="K35" i="14"/>
  <c r="O37" i="14"/>
  <c r="G33" i="14"/>
  <c r="M36" i="14"/>
  <c r="AB72" i="7"/>
  <c r="L53" i="14" l="1"/>
  <c r="D59" i="14"/>
  <c r="E30" i="14"/>
  <c r="K33" i="14"/>
  <c r="I32" i="14"/>
  <c r="M34" i="14"/>
  <c r="G31" i="14"/>
  <c r="O35" i="14"/>
  <c r="N51" i="14"/>
  <c r="J53" i="14"/>
  <c r="L52" i="14"/>
  <c r="N50" i="14"/>
  <c r="J52" i="14"/>
  <c r="H53" i="14"/>
  <c r="L51" i="14"/>
  <c r="M31" i="14"/>
  <c r="O32" i="14"/>
  <c r="O33" i="14"/>
  <c r="K31" i="14"/>
  <c r="M32" i="14"/>
  <c r="I31" i="14"/>
  <c r="K32" i="14"/>
  <c r="O34" i="14"/>
  <c r="M33" i="14"/>
  <c r="O30" i="14"/>
  <c r="G30" i="14"/>
  <c r="K30" i="14"/>
  <c r="I30" i="14"/>
  <c r="J51" i="14" l="1"/>
  <c r="P51" i="14" s="1"/>
  <c r="H28" i="11" s="1"/>
  <c r="F53" i="14"/>
  <c r="P53" i="14" s="1"/>
  <c r="H30" i="11" s="1"/>
  <c r="H52" i="14"/>
  <c r="L50" i="14"/>
  <c r="P50" i="14" s="1"/>
  <c r="N49" i="14"/>
  <c r="P49" i="14" s="1"/>
  <c r="P38" i="14"/>
  <c r="H15" i="11" s="1"/>
  <c r="P37" i="14"/>
  <c r="H14" i="11" s="1"/>
  <c r="P36" i="14"/>
  <c r="H13" i="11" s="1"/>
  <c r="P34" i="14"/>
  <c r="P33" i="14"/>
  <c r="P52" i="14"/>
  <c r="H29" i="11" s="1"/>
  <c r="O31" i="14"/>
  <c r="P31" i="14" s="1"/>
  <c r="H8" i="11" s="1"/>
  <c r="P35" i="14"/>
  <c r="P46" i="14"/>
  <c r="H23" i="11" s="1"/>
  <c r="P47" i="14"/>
  <c r="M30" i="14"/>
  <c r="P30" i="14" s="1"/>
  <c r="H7" i="11" s="1"/>
  <c r="P41" i="14"/>
  <c r="H18" i="11" s="1"/>
  <c r="P32" i="14"/>
  <c r="P39" i="14"/>
  <c r="P40" i="14"/>
  <c r="H17" i="11" s="1"/>
  <c r="P48" i="14"/>
  <c r="P45" i="14"/>
  <c r="P43" i="14"/>
  <c r="H20" i="11" s="1"/>
  <c r="P42" i="14"/>
  <c r="P44" i="14"/>
  <c r="H21" i="11" s="1"/>
  <c r="H24" i="11" l="1"/>
  <c r="J24" i="11" s="1"/>
  <c r="H25" i="11"/>
  <c r="J25" i="11" s="1"/>
  <c r="H12" i="11"/>
  <c r="J12" i="11" s="1"/>
  <c r="H11" i="11"/>
  <c r="J11" i="11" s="1"/>
  <c r="H26" i="11"/>
  <c r="J26" i="11" s="1"/>
  <c r="H19" i="11"/>
  <c r="J19" i="11" s="1"/>
  <c r="H27" i="11"/>
  <c r="J27" i="11" s="1"/>
  <c r="H16" i="11"/>
  <c r="J16" i="11" s="1"/>
  <c r="H22" i="11"/>
  <c r="J22" i="11" s="1"/>
  <c r="H9" i="11"/>
  <c r="J9" i="11" s="1"/>
  <c r="H10" i="11"/>
  <c r="J10" i="11" s="1"/>
  <c r="J7" i="11"/>
  <c r="J8" i="11"/>
  <c r="J28" i="11"/>
  <c r="J13" i="11"/>
  <c r="J15" i="11"/>
  <c r="J30" i="11"/>
  <c r="J18" i="11"/>
  <c r="J20" i="11"/>
  <c r="J14" i="11"/>
  <c r="J17" i="11"/>
  <c r="J21" i="11"/>
  <c r="J23" i="11"/>
  <c r="J29" i="11"/>
  <c r="H33" i="11" l="1"/>
  <c r="H34" i="11"/>
  <c r="J33" i="11"/>
  <c r="J34" i="11"/>
  <c r="D26" i="14"/>
  <c r="D24" i="14"/>
  <c r="P26" i="14"/>
  <c r="P24" i="14"/>
  <c r="H31" i="11"/>
  <c r="H32" i="11" s="1"/>
  <c r="J31" i="11"/>
  <c r="J32" i="11" s="1"/>
  <c r="Q26" i="14" l="1"/>
</calcChain>
</file>

<file path=xl/sharedStrings.xml><?xml version="1.0" encoding="utf-8"?>
<sst xmlns="http://schemas.openxmlformats.org/spreadsheetml/2006/main" count="245" uniqueCount="139">
  <si>
    <t>Television</t>
  </si>
  <si>
    <t>DVD Player</t>
  </si>
  <si>
    <t>Iron</t>
  </si>
  <si>
    <t>Refrigerator</t>
  </si>
  <si>
    <t>Radio</t>
  </si>
  <si>
    <t>Count</t>
  </si>
  <si>
    <t>Lights</t>
  </si>
  <si>
    <t>LOW WATTAGE APPLIANCES</t>
  </si>
  <si>
    <t>HIGH WATTAGE APPLIANCES</t>
  </si>
  <si>
    <t>Mobile Phone/Charger</t>
  </si>
  <si>
    <t>Total</t>
  </si>
  <si>
    <t>Energy Use:</t>
  </si>
  <si>
    <t>Total kWh/day</t>
  </si>
  <si>
    <t>Total kWh/year</t>
  </si>
  <si>
    <t>Water Pumping</t>
  </si>
  <si>
    <t>Milling</t>
  </si>
  <si>
    <t>Small Shop (refrigerators, freezers, TV, lighting)</t>
  </si>
  <si>
    <t>Montly Electricity Consumption
(kWh/Month)</t>
  </si>
  <si>
    <t>Small Shop</t>
  </si>
  <si>
    <t>School</t>
  </si>
  <si>
    <t>Operating Hours
(Hours/Month)</t>
  </si>
  <si>
    <t>Daily Electricity Consumption
(kWh/Day)</t>
  </si>
  <si>
    <t>Operating Hours
(Hours/Day)</t>
  </si>
  <si>
    <t>Commericial/Public Type</t>
  </si>
  <si>
    <t>School (lighting, fans, computers)</t>
  </si>
  <si>
    <t>Clinic (lighting, refrigerator, TV, misc.)</t>
  </si>
  <si>
    <t>Street Lighting</t>
  </si>
  <si>
    <t>Clinic</t>
  </si>
  <si>
    <t>Per Unit Wattage
(Watts)</t>
  </si>
  <si>
    <t>Hour of Day</t>
  </si>
  <si>
    <t>Day of Week</t>
  </si>
  <si>
    <t>Number of Households:</t>
  </si>
  <si>
    <t>Max kW/day</t>
  </si>
  <si>
    <t>Total Number of Households</t>
  </si>
  <si>
    <t>+1 hour</t>
  </si>
  <si>
    <t>-1 hour</t>
  </si>
  <si>
    <t>No Shift</t>
  </si>
  <si>
    <t>+2 hour</t>
  </si>
  <si>
    <t>-2 hour</t>
  </si>
  <si>
    <t>+3 hour</t>
  </si>
  <si>
    <t>-3 hour</t>
  </si>
  <si>
    <t>Percentage of Households Shifted</t>
  </si>
  <si>
    <t>Original Load Profile</t>
  </si>
  <si>
    <t>Max kW</t>
  </si>
  <si>
    <t>New Max kW</t>
  </si>
  <si>
    <t>Min kW</t>
  </si>
  <si>
    <t>New Min kW</t>
  </si>
  <si>
    <t>+4 hour</t>
  </si>
  <si>
    <t>-4 hour</t>
  </si>
  <si>
    <t>+5 hour</t>
  </si>
  <si>
    <t>-5 hour</t>
  </si>
  <si>
    <t>Coincidence Factor</t>
  </si>
  <si>
    <t>Total (Wh/day)</t>
  </si>
  <si>
    <t>Total (kWh/day)</t>
  </si>
  <si>
    <t>Number of Schools</t>
  </si>
  <si>
    <t>Number of Small Shops</t>
  </si>
  <si>
    <t>Number of Street Lights</t>
  </si>
  <si>
    <t>Appliance Count</t>
  </si>
  <si>
    <t>% Ownership</t>
  </si>
  <si>
    <t>Appliance Count Accounting for % Ownership</t>
  </si>
  <si>
    <t>OVERALL APPLIANCE COUNT ACCOUNTING FOR % OWNERSHIP</t>
  </si>
  <si>
    <t>ASSUMED APPLIANCE WATTAGE &amp; COUNT</t>
  </si>
  <si>
    <t>ASSUMED HOURLY % APPLIANCE USAGE</t>
  </si>
  <si>
    <t>Total (hours/day)</t>
  </si>
  <si>
    <t>Total (kWh/year)</t>
  </si>
  <si>
    <t>RURAL AFRICAN HOUSEHOLD LOAD PROFILES</t>
  </si>
  <si>
    <t>All Households</t>
  </si>
  <si>
    <t>RURAL AFRICAN COMMERCIAL LOAD PROFILES</t>
  </si>
  <si>
    <t>Generating Profile with 80% Coincidence Factor</t>
  </si>
  <si>
    <t>Load for "-5 hour" Shift</t>
  </si>
  <si>
    <t>Load for "-1 hour" Shift</t>
  </si>
  <si>
    <t>Load for "-2 hour" Shift</t>
  </si>
  <si>
    <t>Load for "-3 hour" Shift</t>
  </si>
  <si>
    <t>Load for "-4 hour" Shift</t>
  </si>
  <si>
    <t>Load for "+1 hour" Shift</t>
  </si>
  <si>
    <t>Load for "+2 hour" Shift</t>
  </si>
  <si>
    <t>Load for "+3 hour" Shift</t>
  </si>
  <si>
    <t>Load for "+4 hour" Shift</t>
  </si>
  <si>
    <t>Load for "+5 hour" Shift</t>
  </si>
  <si>
    <t>Load Profile with 80% Coincidence Factor</t>
  </si>
  <si>
    <t>% of High Income Households</t>
  </si>
  <si>
    <t>% of Medium Income Households</t>
  </si>
  <si>
    <t>% of Low Income Households</t>
  </si>
  <si>
    <t>Number of Clinics</t>
  </si>
  <si>
    <t>Number of Milling Operations</t>
  </si>
  <si>
    <t>Number of Water Pumping Operations</t>
  </si>
  <si>
    <t>Total Household Load</t>
  </si>
  <si>
    <t>Total Commercial Load</t>
  </si>
  <si>
    <t>Total Household + Commercial Load</t>
  </si>
  <si>
    <t>Min kW/day</t>
  </si>
  <si>
    <t>INPUTS</t>
  </si>
  <si>
    <t>HOUSEHOLD INPUTS</t>
  </si>
  <si>
    <t>COMMERCIAL INPUTS</t>
  </si>
  <si>
    <t>HOURLY COMMERCIAL LOAD PROFILES</t>
  </si>
  <si>
    <t>Check that the % households adds up to 100%:</t>
  </si>
  <si>
    <t>CALCULATED HOURLY APPLIANCE POWER USAGE (W): HIGH INCOME HOUSEHOLD</t>
  </si>
  <si>
    <t>CALCULATED HOURLY APPLIANCE POWER USAGE (W): MEDIUM INCOME HOUSEHOLD</t>
  </si>
  <si>
    <t>CALCULATED HOURLY APPLIANCE POWER USAGE (W): LOW INCOME HOUSEHOLD</t>
  </si>
  <si>
    <t>High Income Household</t>
  </si>
  <si>
    <t>Low Income Household</t>
  </si>
  <si>
    <t>SUMMARY OF RURAL AFRICAN HOUSEHOLD LOAD PROFILES (W)</t>
  </si>
  <si>
    <t>Appliance Wattage
(W)</t>
  </si>
  <si>
    <t>Total Wh/day/household:</t>
  </si>
  <si>
    <t>Total kWh/year/household:</t>
  </si>
  <si>
    <r>
      <t xml:space="preserve">Refrigerator </t>
    </r>
    <r>
      <rPr>
        <b/>
        <vertAlign val="superscript"/>
        <sz val="11"/>
        <color theme="1"/>
        <rFont val="Calibri"/>
        <family val="2"/>
        <scheme val="minor"/>
      </rPr>
      <t>1</t>
    </r>
  </si>
  <si>
    <r>
      <t xml:space="preserve">APPLIANCE OWNERSHIP SUMMARY </t>
    </r>
    <r>
      <rPr>
        <b/>
        <vertAlign val="superscript"/>
        <sz val="16"/>
        <color theme="1"/>
        <rFont val="Calibri"/>
        <family val="2"/>
        <scheme val="minor"/>
      </rPr>
      <t>2</t>
    </r>
  </si>
  <si>
    <r>
      <rPr>
        <b/>
        <vertAlign val="superscript"/>
        <sz val="10"/>
        <color theme="1"/>
        <rFont val="Calibri"/>
        <family val="2"/>
        <scheme val="minor"/>
      </rPr>
      <t>2</t>
    </r>
    <r>
      <rPr>
        <sz val="10"/>
        <color theme="1"/>
        <rFont val="Calibri"/>
        <family val="2"/>
        <scheme val="minor"/>
      </rPr>
      <t xml:space="preserve"> "Information taken from Appliance Ownership and Aspirations among Electric Grid and Home Solar Households in Rural Kenya" (2016)</t>
    </r>
  </si>
  <si>
    <r>
      <rPr>
        <b/>
        <vertAlign val="superscript"/>
        <sz val="10"/>
        <color theme="1"/>
        <rFont val="Calibri"/>
        <family val="2"/>
        <scheme val="minor"/>
      </rPr>
      <t>1</t>
    </r>
    <r>
      <rPr>
        <sz val="10"/>
        <color theme="1"/>
        <rFont val="Calibri"/>
        <family val="2"/>
        <scheme val="minor"/>
      </rPr>
      <t xml:space="preserve"> Assumed to be average watts accounting for compressor cycling on &amp; off</t>
    </r>
  </si>
  <si>
    <r>
      <t xml:space="preserve">High Income Household </t>
    </r>
    <r>
      <rPr>
        <b/>
        <vertAlign val="superscript"/>
        <sz val="11"/>
        <color theme="0"/>
        <rFont val="Calibri"/>
        <family val="2"/>
        <scheme val="minor"/>
      </rPr>
      <t>3</t>
    </r>
  </si>
  <si>
    <r>
      <t xml:space="preserve">Low Income Household </t>
    </r>
    <r>
      <rPr>
        <b/>
        <vertAlign val="superscript"/>
        <sz val="11"/>
        <color theme="0"/>
        <rFont val="Calibri"/>
        <family val="2"/>
        <scheme val="minor"/>
      </rPr>
      <t>5</t>
    </r>
  </si>
  <si>
    <r>
      <rPr>
        <b/>
        <vertAlign val="superscript"/>
        <sz val="10"/>
        <color theme="1"/>
        <rFont val="Calibri"/>
        <family val="2"/>
        <scheme val="minor"/>
      </rPr>
      <t>3</t>
    </r>
    <r>
      <rPr>
        <sz val="10"/>
        <color theme="1"/>
        <rFont val="Calibri"/>
        <family val="2"/>
        <scheme val="minor"/>
      </rPr>
      <t xml:space="preserve"> "Grid Connected" homes from 2016 Kenya Paper represent high income households</t>
    </r>
  </si>
  <si>
    <r>
      <rPr>
        <b/>
        <vertAlign val="superscript"/>
        <sz val="10"/>
        <color theme="1"/>
        <rFont val="Calibri"/>
        <family val="2"/>
        <scheme val="minor"/>
      </rPr>
      <t>4</t>
    </r>
    <r>
      <rPr>
        <sz val="10"/>
        <color theme="1"/>
        <rFont val="Calibri"/>
        <family val="2"/>
        <scheme val="minor"/>
      </rPr>
      <t xml:space="preserve"> "Solar" homes from 2016 Kenya Paper represent medium income households</t>
    </r>
  </si>
  <si>
    <t>Medium Income Household</t>
  </si>
  <si>
    <r>
      <t xml:space="preserve">Medium Income Household </t>
    </r>
    <r>
      <rPr>
        <b/>
        <vertAlign val="superscript"/>
        <sz val="11"/>
        <color theme="0"/>
        <rFont val="Calibri"/>
        <family val="2"/>
        <scheme val="minor"/>
      </rPr>
      <t>4</t>
    </r>
  </si>
  <si>
    <r>
      <rPr>
        <b/>
        <vertAlign val="superscript"/>
        <sz val="10"/>
        <color theme="1"/>
        <rFont val="Calibri"/>
        <family val="2"/>
        <scheme val="minor"/>
      </rPr>
      <t>5</t>
    </r>
    <r>
      <rPr>
        <sz val="10"/>
        <color theme="1"/>
        <rFont val="Calibri"/>
        <family val="2"/>
        <scheme val="minor"/>
      </rPr>
      <t xml:space="preserve"> "Kerosene" homes from 2016 Kenya Paper represent low income households</t>
    </r>
  </si>
  <si>
    <t>Total High Income</t>
  </si>
  <si>
    <t>Total Medium Income</t>
  </si>
  <si>
    <t>Total Low Income</t>
  </si>
  <si>
    <t>All Households Assuming Varying % High, Medium, and Low Income</t>
  </si>
  <si>
    <t>OUTPUTS</t>
  </si>
  <si>
    <t>Total kWh/day:</t>
  </si>
  <si>
    <t>Total kWh/year:</t>
  </si>
  <si>
    <t>*Changeable inputs are located in cells C8 to C11 and C15 to C20</t>
  </si>
  <si>
    <r>
      <t>HOUSEHOLD AND COMMERCIAL INPUTS</t>
    </r>
    <r>
      <rPr>
        <b/>
        <sz val="14"/>
        <color rgb="FFC00000"/>
        <rFont val="Calibri"/>
        <family val="2"/>
        <scheme val="minor"/>
      </rPr>
      <t>*</t>
    </r>
  </si>
  <si>
    <t>All of Commercial Entities</t>
  </si>
  <si>
    <r>
      <t xml:space="preserve">Water Pumping </t>
    </r>
    <r>
      <rPr>
        <b/>
        <vertAlign val="superscript"/>
        <sz val="11"/>
        <color theme="1"/>
        <rFont val="Calibri"/>
        <family val="2"/>
        <scheme val="minor"/>
      </rPr>
      <t>1</t>
    </r>
  </si>
  <si>
    <r>
      <t xml:space="preserve">Milling </t>
    </r>
    <r>
      <rPr>
        <b/>
        <vertAlign val="superscript"/>
        <sz val="11"/>
        <color theme="1"/>
        <rFont val="Calibri"/>
        <family val="2"/>
        <scheme val="minor"/>
      </rPr>
      <t>1</t>
    </r>
  </si>
  <si>
    <r>
      <t xml:space="preserve">Small Shop (refrigerators, freezers, TV, lighting) </t>
    </r>
    <r>
      <rPr>
        <b/>
        <vertAlign val="superscript"/>
        <sz val="11"/>
        <color theme="1"/>
        <rFont val="Calibri"/>
        <family val="2"/>
        <scheme val="minor"/>
      </rPr>
      <t>1</t>
    </r>
  </si>
  <si>
    <r>
      <t xml:space="preserve">School (lighting, fans, computers) </t>
    </r>
    <r>
      <rPr>
        <b/>
        <vertAlign val="superscript"/>
        <sz val="11"/>
        <color theme="1"/>
        <rFont val="Calibri"/>
        <family val="2"/>
        <scheme val="minor"/>
      </rPr>
      <t>2</t>
    </r>
  </si>
  <si>
    <r>
      <t xml:space="preserve">Clinic (lighting, refrigerator, TV, misc.) </t>
    </r>
    <r>
      <rPr>
        <b/>
        <vertAlign val="superscript"/>
        <sz val="11"/>
        <color theme="1"/>
        <rFont val="Calibri"/>
        <family val="2"/>
        <scheme val="minor"/>
      </rPr>
      <t>2</t>
    </r>
  </si>
  <si>
    <r>
      <t xml:space="preserve">Street Lighting (on per light fixture basis) </t>
    </r>
    <r>
      <rPr>
        <b/>
        <vertAlign val="superscript"/>
        <sz val="11"/>
        <color theme="1"/>
        <rFont val="Calibri"/>
        <family val="2"/>
        <scheme val="minor"/>
      </rPr>
      <t>2</t>
    </r>
  </si>
  <si>
    <t>ASSUMED HOURLY % COMMERCIAL USAGE</t>
  </si>
  <si>
    <t>Commercial Entity Type</t>
  </si>
  <si>
    <t>ASSUMED COMMERCIAL ENTITY WATTAGE AND OPERATING HOURS</t>
  </si>
  <si>
    <t>LOAD PROFILE OUTPUT TABLE (kW)</t>
  </si>
  <si>
    <t>SUMMARY OF RURAL AFRICAN COMMERCIAL LOAD PROFILES (W)</t>
  </si>
  <si>
    <t>CALCULATED HOURLY COMMERCIAL LOAD PROFILE (W)</t>
  </si>
  <si>
    <r>
      <rPr>
        <b/>
        <vertAlign val="superscript"/>
        <sz val="10"/>
        <color theme="1"/>
        <rFont val="Calibri"/>
        <family val="2"/>
        <scheme val="minor"/>
      </rPr>
      <t>1</t>
    </r>
    <r>
      <rPr>
        <sz val="10"/>
        <color theme="1"/>
        <rFont val="Calibri"/>
        <family val="2"/>
        <scheme val="minor"/>
      </rPr>
      <t xml:space="preserve"> Power and Agriculture Nexus in Sub-Saharan Africa (2017)</t>
    </r>
  </si>
  <si>
    <r>
      <rPr>
        <b/>
        <vertAlign val="superscript"/>
        <sz val="10"/>
        <color theme="1"/>
        <rFont val="Calibri"/>
        <family val="2"/>
        <scheme val="minor"/>
      </rPr>
      <t>2</t>
    </r>
    <r>
      <rPr>
        <sz val="10"/>
        <color theme="1"/>
        <rFont val="Calibri"/>
        <family val="2"/>
        <scheme val="minor"/>
      </rPr>
      <t xml:space="preserve"> Electrical Load Survey and Forecast for a Decentralized Hybrid Power System at Elebu, Kwara State, Nigeria (2015)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</si>
</sst>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0.000"/>
    <numFmt numFmtId="167" formatCode="0.0000"/>
    <numFmt numFmtId="168"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1"/>
      <color theme="0"/>
      <name val="Calibri"/>
      <family val="2"/>
      <scheme val="minor"/>
    </font>
    <font>
      <b/>
      <sz val="12"/>
      <color theme="0"/>
      <name val="Calibri"/>
      <family val="2"/>
      <scheme val="minor"/>
    </font>
    <font>
      <b/>
      <sz val="14"/>
      <color theme="1"/>
      <name val="Calibri"/>
      <family val="2"/>
      <scheme val="minor"/>
    </font>
    <font>
      <sz val="11"/>
      <name val="Calibri"/>
      <family val="2"/>
      <scheme val="minor"/>
    </font>
    <font>
      <b/>
      <sz val="24"/>
      <color theme="1"/>
      <name val="Calibri"/>
      <family val="2"/>
      <scheme val="minor"/>
    </font>
    <font>
      <b/>
      <sz val="11"/>
      <name val="Calibri"/>
      <family val="2"/>
      <scheme val="minor"/>
    </font>
    <font>
      <b/>
      <sz val="11"/>
      <color rgb="FFFF0000"/>
      <name val="Calibri"/>
      <family val="2"/>
      <scheme val="minor"/>
    </font>
    <font>
      <b/>
      <vertAlign val="superscript"/>
      <sz val="11"/>
      <color theme="1"/>
      <name val="Calibri"/>
      <family val="2"/>
      <scheme val="minor"/>
    </font>
    <font>
      <b/>
      <vertAlign val="superscript"/>
      <sz val="16"/>
      <color theme="1"/>
      <name val="Calibri"/>
      <family val="2"/>
      <scheme val="minor"/>
    </font>
    <font>
      <sz val="10"/>
      <color theme="1"/>
      <name val="Calibri"/>
      <family val="2"/>
      <scheme val="minor"/>
    </font>
    <font>
      <b/>
      <vertAlign val="superscript"/>
      <sz val="10"/>
      <color theme="1"/>
      <name val="Calibri"/>
      <family val="2"/>
      <scheme val="minor"/>
    </font>
    <font>
      <b/>
      <vertAlign val="superscript"/>
      <sz val="11"/>
      <color theme="0"/>
      <name val="Calibri"/>
      <family val="2"/>
      <scheme val="minor"/>
    </font>
    <font>
      <b/>
      <sz val="11"/>
      <color rgb="FFC00000"/>
      <name val="Calibri"/>
      <family val="2"/>
      <scheme val="minor"/>
    </font>
    <font>
      <b/>
      <sz val="14"/>
      <color rgb="FFC00000"/>
      <name val="Calibri"/>
      <family val="2"/>
      <scheme val="minor"/>
    </font>
  </fonts>
  <fills count="20">
    <fill>
      <patternFill patternType="none"/>
    </fill>
    <fill>
      <patternFill patternType="gray125"/>
    </fill>
    <fill>
      <patternFill patternType="solid">
        <fgColor theme="0" tint="-0.249977111117893"/>
        <bgColor indexed="64"/>
      </patternFill>
    </fill>
    <fill>
      <patternFill patternType="solid">
        <fgColor rgb="FFC00000"/>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rgb="FF92D050"/>
        <bgColor indexed="64"/>
      </patternFill>
    </fill>
    <fill>
      <patternFill patternType="solid">
        <fgColor rgb="FF007E39"/>
        <bgColor indexed="64"/>
      </patternFill>
    </fill>
    <fill>
      <patternFill patternType="solid">
        <fgColor rgb="FFE74B05"/>
        <bgColor indexed="64"/>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rgb="FF0000FF"/>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rgb="FFFFC000"/>
      </top>
      <bottom style="medium">
        <color indexed="64"/>
      </bottom>
      <diagonal/>
    </border>
    <border>
      <left/>
      <right style="medium">
        <color indexed="64"/>
      </right>
      <top style="medium">
        <color rgb="FFFFC000"/>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22">
    <xf numFmtId="0" fontId="0" fillId="0" borderId="0" xfId="0"/>
    <xf numFmtId="0" fontId="0" fillId="0" borderId="0" xfId="0" applyAlignment="1">
      <alignment wrapText="1"/>
    </xf>
    <xf numFmtId="0" fontId="4" fillId="3" borderId="3" xfId="0" applyFont="1" applyFill="1" applyBorder="1"/>
    <xf numFmtId="0" fontId="0" fillId="3" borderId="4" xfId="0" applyFill="1" applyBorder="1"/>
    <xf numFmtId="0" fontId="0" fillId="3" borderId="5" xfId="0" applyFill="1" applyBorder="1"/>
    <xf numFmtId="0" fontId="0" fillId="5" borderId="0" xfId="0" applyFill="1" applyBorder="1"/>
    <xf numFmtId="166" fontId="0" fillId="0" borderId="0" xfId="0" applyNumberFormat="1"/>
    <xf numFmtId="1" fontId="1" fillId="0" borderId="1" xfId="1" applyNumberFormat="1" applyFont="1" applyFill="1" applyBorder="1"/>
    <xf numFmtId="0" fontId="0" fillId="0" borderId="1" xfId="0" applyFill="1" applyBorder="1"/>
    <xf numFmtId="0" fontId="0" fillId="0" borderId="8" xfId="0" applyFont="1" applyFill="1" applyBorder="1"/>
    <xf numFmtId="1" fontId="1" fillId="0" borderId="11" xfId="1" applyNumberFormat="1" applyFont="1" applyFill="1" applyBorder="1"/>
    <xf numFmtId="0" fontId="0" fillId="0" borderId="9" xfId="1" applyNumberFormat="1" applyFont="1" applyFill="1" applyBorder="1"/>
    <xf numFmtId="0" fontId="0" fillId="0" borderId="1" xfId="0" applyFont="1" applyFill="1" applyBorder="1"/>
    <xf numFmtId="0" fontId="0" fillId="0" borderId="10" xfId="0" applyFont="1" applyFill="1" applyBorder="1" applyAlignment="1">
      <alignment vertical="center" wrapText="1"/>
    </xf>
    <xf numFmtId="0" fontId="0" fillId="0" borderId="11" xfId="0" applyFont="1" applyFill="1" applyBorder="1" applyAlignment="1">
      <alignment vertical="center" wrapText="1"/>
    </xf>
    <xf numFmtId="0" fontId="0" fillId="0" borderId="12" xfId="0" applyFont="1" applyFill="1" applyBorder="1" applyAlignment="1">
      <alignment vertical="center" wrapText="1"/>
    </xf>
    <xf numFmtId="0" fontId="0" fillId="5" borderId="0" xfId="0" applyFill="1"/>
    <xf numFmtId="0" fontId="2" fillId="5" borderId="0" xfId="0" applyFont="1" applyFill="1"/>
    <xf numFmtId="0" fontId="0" fillId="5" borderId="0" xfId="0" applyFill="1" applyAlignment="1">
      <alignment wrapText="1"/>
    </xf>
    <xf numFmtId="0" fontId="0" fillId="0" borderId="0" xfId="0" applyFill="1"/>
    <xf numFmtId="167" fontId="0" fillId="0" borderId="0" xfId="0" applyNumberFormat="1"/>
    <xf numFmtId="166" fontId="0" fillId="5" borderId="0" xfId="0" applyNumberFormat="1" applyFill="1"/>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9" borderId="21" xfId="0" applyFont="1" applyFill="1" applyBorder="1" applyAlignment="1">
      <alignment horizontal="center" vertical="center" wrapText="1"/>
    </xf>
    <xf numFmtId="0" fontId="0" fillId="9" borderId="0" xfId="0" applyFill="1"/>
    <xf numFmtId="0" fontId="2" fillId="9" borderId="0" xfId="0" applyFont="1" applyFill="1"/>
    <xf numFmtId="0" fontId="2" fillId="0" borderId="3" xfId="0" quotePrefix="1" applyFont="1" applyBorder="1" applyAlignment="1">
      <alignment horizontal="center" vertical="center" wrapText="1"/>
    </xf>
    <xf numFmtId="0" fontId="2" fillId="10" borderId="0" xfId="0" applyFont="1" applyFill="1" applyAlignment="1">
      <alignment horizontal="center" vertical="center"/>
    </xf>
    <xf numFmtId="167" fontId="2" fillId="10" borderId="0" xfId="0" applyNumberFormat="1" applyFont="1" applyFill="1" applyAlignment="1">
      <alignment horizontal="center" vertical="center"/>
    </xf>
    <xf numFmtId="168" fontId="2" fillId="9" borderId="0" xfId="1" applyNumberFormat="1" applyFont="1" applyFill="1" applyBorder="1" applyAlignment="1">
      <alignment horizontal="center" vertical="center" wrapText="1"/>
    </xf>
    <xf numFmtId="168" fontId="2" fillId="9" borderId="0" xfId="0" applyNumberFormat="1" applyFont="1" applyFill="1" applyBorder="1" applyAlignment="1">
      <alignment horizontal="center" vertical="center" wrapText="1"/>
    </xf>
    <xf numFmtId="168" fontId="2" fillId="9" borderId="21" xfId="1"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4" fillId="4" borderId="13" xfId="0" applyFont="1" applyFill="1" applyBorder="1" applyAlignment="1">
      <alignment horizontal="center" vertical="center" wrapText="1"/>
    </xf>
    <xf numFmtId="0" fontId="3" fillId="5" borderId="0" xfId="0" applyFont="1" applyFill="1"/>
    <xf numFmtId="0" fontId="3" fillId="5" borderId="0" xfId="0" applyFont="1" applyFill="1" applyAlignment="1">
      <alignment horizontal="center" vertical="center" wrapText="1"/>
    </xf>
    <xf numFmtId="0" fontId="0" fillId="5" borderId="0" xfId="0" applyFill="1" applyAlignment="1">
      <alignment horizontal="center" vertical="center" wrapText="1"/>
    </xf>
    <xf numFmtId="20" fontId="4" fillId="5" borderId="0" xfId="0" applyNumberFormat="1" applyFont="1" applyFill="1" applyBorder="1" applyAlignment="1">
      <alignment horizontal="center" vertical="center" wrapText="1"/>
    </xf>
    <xf numFmtId="20" fontId="4" fillId="5" borderId="0" xfId="0" applyNumberFormat="1" applyFont="1" applyFill="1" applyBorder="1"/>
    <xf numFmtId="0" fontId="0" fillId="5" borderId="1" xfId="0" applyFill="1" applyBorder="1"/>
    <xf numFmtId="0" fontId="0" fillId="5" borderId="23" xfId="0" applyFill="1" applyBorder="1"/>
    <xf numFmtId="165" fontId="0" fillId="5" borderId="0" xfId="0" applyNumberFormat="1" applyFill="1" applyBorder="1"/>
    <xf numFmtId="9" fontId="0" fillId="5" borderId="0" xfId="1" applyFont="1" applyFill="1" applyBorder="1"/>
    <xf numFmtId="0" fontId="0" fillId="5" borderId="11" xfId="0" applyFill="1" applyBorder="1"/>
    <xf numFmtId="166" fontId="0" fillId="5" borderId="0" xfId="0" applyNumberFormat="1" applyFill="1" applyBorder="1"/>
    <xf numFmtId="1" fontId="0" fillId="5" borderId="0" xfId="0" applyNumberFormat="1" applyFill="1" applyBorder="1"/>
    <xf numFmtId="2" fontId="0" fillId="5" borderId="0" xfId="0" applyNumberFormat="1" applyFill="1"/>
    <xf numFmtId="1" fontId="0" fillId="5" borderId="0" xfId="0" applyNumberFormat="1" applyFill="1"/>
    <xf numFmtId="0" fontId="4" fillId="4" borderId="31" xfId="0" applyFont="1" applyFill="1" applyBorder="1" applyAlignment="1">
      <alignment horizontal="center" vertical="center" wrapText="1"/>
    </xf>
    <xf numFmtId="0" fontId="4" fillId="4" borderId="32" xfId="0" applyFont="1" applyFill="1" applyBorder="1" applyAlignment="1">
      <alignment horizontal="center" vertical="center" wrapText="1"/>
    </xf>
    <xf numFmtId="166" fontId="0" fillId="5" borderId="14" xfId="0" applyNumberFormat="1" applyFill="1" applyBorder="1"/>
    <xf numFmtId="0" fontId="4" fillId="4" borderId="16"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41" xfId="0" applyFont="1" applyFill="1" applyBorder="1" applyAlignment="1">
      <alignment horizontal="center" vertical="center" wrapText="1"/>
    </xf>
    <xf numFmtId="0" fontId="4" fillId="4" borderId="2" xfId="0" applyFont="1" applyFill="1" applyBorder="1" applyAlignment="1">
      <alignment wrapText="1"/>
    </xf>
    <xf numFmtId="20" fontId="7" fillId="2" borderId="22" xfId="0" applyNumberFormat="1" applyFont="1" applyFill="1" applyBorder="1" applyAlignment="1">
      <alignment horizontal="center"/>
    </xf>
    <xf numFmtId="20" fontId="7" fillId="2" borderId="6" xfId="0" applyNumberFormat="1" applyFont="1" applyFill="1" applyBorder="1" applyAlignment="1">
      <alignment horizontal="center"/>
    </xf>
    <xf numFmtId="20" fontId="7" fillId="2" borderId="25" xfId="0" applyNumberFormat="1" applyFont="1" applyFill="1" applyBorder="1" applyAlignment="1">
      <alignment horizontal="center"/>
    </xf>
    <xf numFmtId="0" fontId="8" fillId="5" borderId="0" xfId="0" applyFont="1" applyFill="1"/>
    <xf numFmtId="0" fontId="0" fillId="5" borderId="14" xfId="0" applyFill="1" applyBorder="1"/>
    <xf numFmtId="0" fontId="4" fillId="4" borderId="30" xfId="0" applyFont="1" applyFill="1" applyBorder="1" applyAlignment="1">
      <alignment horizontal="center" vertical="center" wrapText="1"/>
    </xf>
    <xf numFmtId="0" fontId="4" fillId="4" borderId="45" xfId="0" applyFont="1" applyFill="1" applyBorder="1" applyAlignment="1">
      <alignment horizontal="center" vertical="center" wrapText="1"/>
    </xf>
    <xf numFmtId="0" fontId="4" fillId="4" borderId="43" xfId="0" applyFont="1" applyFill="1" applyBorder="1" applyAlignment="1">
      <alignment horizontal="center" vertical="center" wrapText="1"/>
    </xf>
    <xf numFmtId="0" fontId="4" fillId="4" borderId="46" xfId="0" applyFont="1" applyFill="1" applyBorder="1" applyAlignment="1">
      <alignment horizontal="center" vertical="center" wrapText="1"/>
    </xf>
    <xf numFmtId="0" fontId="4" fillId="4" borderId="44" xfId="0" applyFont="1" applyFill="1" applyBorder="1" applyAlignment="1">
      <alignment horizontal="center" vertical="center" wrapText="1"/>
    </xf>
    <xf numFmtId="0" fontId="0" fillId="12" borderId="4" xfId="0" applyFill="1" applyBorder="1"/>
    <xf numFmtId="0" fontId="2" fillId="12" borderId="5" xfId="0" applyFont="1" applyFill="1" applyBorder="1"/>
    <xf numFmtId="0" fontId="4" fillId="12" borderId="3" xfId="0" applyFont="1" applyFill="1" applyBorder="1" applyAlignment="1">
      <alignment vertical="center"/>
    </xf>
    <xf numFmtId="0" fontId="0" fillId="5" borderId="27" xfId="0" applyFill="1" applyBorder="1"/>
    <xf numFmtId="0" fontId="4" fillId="3" borderId="5" xfId="0" applyFont="1" applyFill="1" applyBorder="1"/>
    <xf numFmtId="0" fontId="0" fillId="5" borderId="23" xfId="0" applyFont="1" applyFill="1" applyBorder="1"/>
    <xf numFmtId="0" fontId="0" fillId="5" borderId="24" xfId="0" applyFill="1" applyBorder="1"/>
    <xf numFmtId="0" fontId="0" fillId="5" borderId="8" xfId="0" applyFont="1" applyFill="1" applyBorder="1"/>
    <xf numFmtId="0" fontId="0" fillId="5" borderId="9" xfId="0" applyFill="1" applyBorder="1"/>
    <xf numFmtId="0" fontId="0" fillId="5" borderId="26" xfId="0" applyFont="1" applyFill="1" applyBorder="1"/>
    <xf numFmtId="0" fontId="0" fillId="5" borderId="28" xfId="0" applyFill="1" applyBorder="1"/>
    <xf numFmtId="0" fontId="0" fillId="5" borderId="8" xfId="0" applyFill="1" applyBorder="1"/>
    <xf numFmtId="0" fontId="0" fillId="5" borderId="10" xfId="0" applyFill="1" applyBorder="1"/>
    <xf numFmtId="0" fontId="0" fillId="5" borderId="12" xfId="0" applyFill="1" applyBorder="1"/>
    <xf numFmtId="0" fontId="0" fillId="12" borderId="5" xfId="0" applyFill="1" applyBorder="1"/>
    <xf numFmtId="165" fontId="0" fillId="5" borderId="9" xfId="0" applyNumberFormat="1" applyFill="1" applyBorder="1"/>
    <xf numFmtId="165" fontId="0" fillId="5" borderId="12" xfId="0" applyNumberFormat="1" applyFill="1" applyBorder="1"/>
    <xf numFmtId="0" fontId="4" fillId="4" borderId="18" xfId="0" applyFont="1" applyFill="1" applyBorder="1"/>
    <xf numFmtId="20" fontId="4" fillId="4" borderId="19" xfId="0" applyNumberFormat="1" applyFont="1" applyFill="1" applyBorder="1" applyAlignment="1">
      <alignment horizontal="center" vertical="center"/>
    </xf>
    <xf numFmtId="20" fontId="4" fillId="4" borderId="20" xfId="0" applyNumberFormat="1" applyFont="1" applyFill="1" applyBorder="1" applyAlignment="1">
      <alignment horizontal="center" vertical="center"/>
    </xf>
    <xf numFmtId="165" fontId="0" fillId="5" borderId="24" xfId="0" applyNumberFormat="1" applyFill="1" applyBorder="1"/>
    <xf numFmtId="0" fontId="4" fillId="3" borderId="3" xfId="0" applyFont="1" applyFill="1" applyBorder="1" applyAlignment="1">
      <alignment vertical="center"/>
    </xf>
    <xf numFmtId="1" fontId="4" fillId="4" borderId="19" xfId="0" applyNumberFormat="1" applyFont="1" applyFill="1" applyBorder="1" applyAlignment="1">
      <alignment horizontal="center" vertical="center"/>
    </xf>
    <xf numFmtId="0" fontId="0" fillId="5" borderId="26" xfId="0" applyFill="1" applyBorder="1"/>
    <xf numFmtId="0" fontId="2" fillId="5" borderId="15" xfId="0" applyFont="1" applyFill="1" applyBorder="1"/>
    <xf numFmtId="166" fontId="2" fillId="5" borderId="16" xfId="0" applyNumberFormat="1" applyFont="1" applyFill="1" applyBorder="1"/>
    <xf numFmtId="9" fontId="2" fillId="10" borderId="0" xfId="1" applyNumberFormat="1" applyFont="1" applyFill="1" applyAlignment="1">
      <alignment horizontal="center" vertical="center"/>
    </xf>
    <xf numFmtId="2" fontId="2" fillId="10" borderId="0" xfId="0" applyNumberFormat="1" applyFont="1" applyFill="1" applyAlignment="1">
      <alignment horizontal="center" vertical="center"/>
    </xf>
    <xf numFmtId="0" fontId="4" fillId="8" borderId="13" xfId="0" applyFont="1" applyFill="1" applyBorder="1" applyAlignment="1">
      <alignment horizontal="center" vertical="center" wrapText="1"/>
    </xf>
    <xf numFmtId="0" fontId="2" fillId="7" borderId="3" xfId="0" quotePrefix="1" applyFont="1" applyFill="1" applyBorder="1" applyAlignment="1">
      <alignment horizontal="center" vertical="center" wrapText="1"/>
    </xf>
    <xf numFmtId="167" fontId="0" fillId="7" borderId="0" xfId="0" applyNumberFormat="1" applyFill="1"/>
    <xf numFmtId="167" fontId="0" fillId="11" borderId="0" xfId="0" applyNumberFormat="1" applyFill="1"/>
    <xf numFmtId="2" fontId="0" fillId="0" borderId="23" xfId="0" applyNumberFormat="1" applyBorder="1"/>
    <xf numFmtId="0" fontId="4" fillId="6" borderId="13" xfId="0" applyFont="1" applyFill="1" applyBorder="1" applyAlignment="1">
      <alignment horizontal="center" vertical="center" wrapText="1"/>
    </xf>
    <xf numFmtId="0" fontId="4" fillId="13" borderId="13" xfId="0" applyFont="1" applyFill="1" applyBorder="1" applyAlignment="1">
      <alignment horizontal="center" vertical="center" wrapText="1"/>
    </xf>
    <xf numFmtId="20" fontId="4" fillId="4" borderId="37" xfId="0" applyNumberFormat="1" applyFont="1" applyFill="1" applyBorder="1" applyAlignment="1">
      <alignment horizontal="center" vertical="center"/>
    </xf>
    <xf numFmtId="20" fontId="4" fillId="4" borderId="33" xfId="0" applyNumberFormat="1" applyFont="1" applyFill="1" applyBorder="1" applyAlignment="1">
      <alignment horizontal="center" vertical="center"/>
    </xf>
    <xf numFmtId="2" fontId="0" fillId="0" borderId="30" xfId="0" applyNumberFormat="1" applyBorder="1"/>
    <xf numFmtId="2" fontId="0" fillId="5" borderId="29" xfId="0" applyNumberFormat="1" applyFill="1" applyBorder="1" applyAlignment="1">
      <alignment wrapText="1"/>
    </xf>
    <xf numFmtId="2" fontId="0" fillId="5" borderId="6" xfId="0" applyNumberFormat="1" applyFill="1" applyBorder="1" applyAlignment="1">
      <alignment wrapText="1"/>
    </xf>
    <xf numFmtId="2" fontId="0" fillId="5" borderId="25" xfId="0" applyNumberFormat="1" applyFill="1" applyBorder="1" applyAlignment="1">
      <alignment wrapText="1"/>
    </xf>
    <xf numFmtId="2" fontId="0" fillId="0" borderId="22" xfId="0" applyNumberFormat="1" applyBorder="1"/>
    <xf numFmtId="20" fontId="4" fillId="4" borderId="35" xfId="0" applyNumberFormat="1" applyFont="1" applyFill="1" applyBorder="1" applyAlignment="1">
      <alignment horizontal="center" vertical="center"/>
    </xf>
    <xf numFmtId="2" fontId="0" fillId="0" borderId="47" xfId="0" applyNumberFormat="1" applyBorder="1"/>
    <xf numFmtId="20" fontId="4" fillId="4" borderId="34" xfId="0" applyNumberFormat="1" applyFont="1" applyFill="1" applyBorder="1" applyAlignment="1">
      <alignment horizontal="center" vertical="center"/>
    </xf>
    <xf numFmtId="2" fontId="0" fillId="0" borderId="43" xfId="0" applyNumberFormat="1" applyBorder="1"/>
    <xf numFmtId="2" fontId="0" fillId="0" borderId="49" xfId="0" applyNumberFormat="1" applyBorder="1"/>
    <xf numFmtId="1" fontId="0" fillId="0" borderId="30" xfId="0" applyNumberFormat="1" applyBorder="1"/>
    <xf numFmtId="164" fontId="0" fillId="0" borderId="23" xfId="2" applyNumberFormat="1" applyFont="1" applyBorder="1" applyAlignment="1"/>
    <xf numFmtId="0" fontId="4" fillId="9" borderId="30" xfId="0" applyFont="1" applyFill="1" applyBorder="1"/>
    <xf numFmtId="0" fontId="4" fillId="9" borderId="8" xfId="0" applyFont="1" applyFill="1" applyBorder="1"/>
    <xf numFmtId="0" fontId="4" fillId="9" borderId="10" xfId="0" applyFont="1" applyFill="1" applyBorder="1"/>
    <xf numFmtId="1" fontId="2" fillId="0" borderId="29" xfId="0" applyNumberFormat="1" applyFont="1" applyBorder="1"/>
    <xf numFmtId="164" fontId="2" fillId="0" borderId="22" xfId="2" applyNumberFormat="1" applyFont="1" applyBorder="1" applyAlignment="1"/>
    <xf numFmtId="2" fontId="2" fillId="0" borderId="22" xfId="0" applyNumberFormat="1" applyFont="1" applyBorder="1"/>
    <xf numFmtId="2" fontId="2" fillId="0" borderId="48" xfId="0" applyNumberFormat="1" applyFont="1" applyBorder="1"/>
    <xf numFmtId="0" fontId="4" fillId="15" borderId="3" xfId="0" applyFont="1" applyFill="1" applyBorder="1" applyAlignment="1">
      <alignment horizontal="centerContinuous"/>
    </xf>
    <xf numFmtId="0" fontId="4" fillId="15" borderId="5" xfId="0" applyFont="1" applyFill="1" applyBorder="1" applyAlignment="1">
      <alignment horizontal="centerContinuous"/>
    </xf>
    <xf numFmtId="0" fontId="0" fillId="5" borderId="0" xfId="0" applyFont="1" applyFill="1" applyBorder="1"/>
    <xf numFmtId="0" fontId="0" fillId="0" borderId="26" xfId="0" applyFont="1" applyFill="1" applyBorder="1"/>
    <xf numFmtId="1" fontId="1" fillId="5" borderId="0" xfId="1" applyNumberFormat="1" applyFont="1" applyFill="1" applyBorder="1"/>
    <xf numFmtId="0" fontId="0" fillId="5" borderId="0" xfId="1" applyNumberFormat="1" applyFont="1" applyFill="1" applyBorder="1"/>
    <xf numFmtId="2" fontId="0" fillId="0" borderId="1" xfId="0" applyNumberFormat="1" applyFill="1" applyBorder="1"/>
    <xf numFmtId="2" fontId="0" fillId="0" borderId="9" xfId="0" applyNumberFormat="1" applyFill="1" applyBorder="1"/>
    <xf numFmtId="0" fontId="9" fillId="14" borderId="32" xfId="0" applyFont="1" applyFill="1" applyBorder="1" applyProtection="1">
      <protection locked="0"/>
    </xf>
    <xf numFmtId="9" fontId="9" fillId="14" borderId="9" xfId="1" applyFont="1" applyFill="1" applyBorder="1" applyProtection="1">
      <protection locked="0"/>
    </xf>
    <xf numFmtId="0" fontId="9" fillId="14" borderId="9" xfId="0" applyFont="1" applyFill="1" applyBorder="1" applyProtection="1">
      <protection locked="0"/>
    </xf>
    <xf numFmtId="0" fontId="9" fillId="14" borderId="12" xfId="0" applyFont="1" applyFill="1" applyBorder="1" applyProtection="1">
      <protection locked="0"/>
    </xf>
    <xf numFmtId="0" fontId="0" fillId="16" borderId="0" xfId="0" applyFill="1"/>
    <xf numFmtId="9" fontId="9" fillId="14" borderId="28" xfId="1" applyFont="1" applyFill="1" applyBorder="1" applyProtection="1">
      <protection locked="0"/>
    </xf>
    <xf numFmtId="0" fontId="4" fillId="9" borderId="26" xfId="0" applyFont="1" applyFill="1" applyBorder="1"/>
    <xf numFmtId="9" fontId="0" fillId="5" borderId="14" xfId="1" applyFont="1" applyFill="1" applyBorder="1"/>
    <xf numFmtId="9" fontId="0" fillId="5" borderId="24" xfId="1" applyFont="1" applyFill="1" applyBorder="1"/>
    <xf numFmtId="9" fontId="0" fillId="5" borderId="1" xfId="1" applyFont="1" applyFill="1" applyBorder="1"/>
    <xf numFmtId="9" fontId="0" fillId="5" borderId="9" xfId="1" applyFont="1" applyFill="1" applyBorder="1"/>
    <xf numFmtId="9" fontId="0" fillId="5" borderId="27" xfId="1" applyFont="1" applyFill="1" applyBorder="1"/>
    <xf numFmtId="9" fontId="0" fillId="5" borderId="28" xfId="1" applyFont="1" applyFill="1" applyBorder="1"/>
    <xf numFmtId="9" fontId="0" fillId="5" borderId="11" xfId="1" applyFont="1" applyFill="1" applyBorder="1"/>
    <xf numFmtId="9" fontId="0" fillId="5" borderId="12" xfId="1" applyFont="1" applyFill="1" applyBorder="1"/>
    <xf numFmtId="0" fontId="0" fillId="5" borderId="0" xfId="0" applyFont="1" applyFill="1"/>
    <xf numFmtId="165" fontId="0" fillId="5" borderId="14" xfId="0" applyNumberFormat="1" applyFill="1" applyBorder="1"/>
    <xf numFmtId="165" fontId="2" fillId="5" borderId="16" xfId="0" applyNumberFormat="1" applyFont="1" applyFill="1" applyBorder="1"/>
    <xf numFmtId="165" fontId="0" fillId="5" borderId="1" xfId="0" applyNumberFormat="1" applyFill="1" applyBorder="1"/>
    <xf numFmtId="165" fontId="0" fillId="3" borderId="4" xfId="0" applyNumberFormat="1" applyFill="1" applyBorder="1"/>
    <xf numFmtId="165" fontId="0" fillId="5" borderId="27" xfId="0" applyNumberFormat="1" applyFill="1" applyBorder="1"/>
    <xf numFmtId="165" fontId="0" fillId="3" borderId="5" xfId="0" applyNumberFormat="1" applyFill="1" applyBorder="1"/>
    <xf numFmtId="165" fontId="2" fillId="5" borderId="17" xfId="0" applyNumberFormat="1" applyFont="1" applyFill="1" applyBorder="1"/>
    <xf numFmtId="165" fontId="0" fillId="5" borderId="40" xfId="0" applyNumberFormat="1" applyFill="1" applyBorder="1"/>
    <xf numFmtId="165" fontId="0" fillId="5" borderId="38" xfId="0" applyNumberFormat="1" applyFill="1" applyBorder="1"/>
    <xf numFmtId="165" fontId="0" fillId="5" borderId="42" xfId="0" applyNumberFormat="1" applyFill="1" applyBorder="1"/>
    <xf numFmtId="165" fontId="2" fillId="5" borderId="36" xfId="0" applyNumberFormat="1" applyFont="1" applyFill="1" applyBorder="1"/>
    <xf numFmtId="165" fontId="2" fillId="5" borderId="31" xfId="0" applyNumberFormat="1" applyFont="1" applyFill="1" applyBorder="1"/>
    <xf numFmtId="165" fontId="2" fillId="5" borderId="32" xfId="0" applyNumberFormat="1" applyFont="1" applyFill="1" applyBorder="1"/>
    <xf numFmtId="164" fontId="2" fillId="5" borderId="39" xfId="2" applyNumberFormat="1" applyFont="1" applyFill="1" applyBorder="1"/>
    <xf numFmtId="1" fontId="2" fillId="5" borderId="11" xfId="0" applyNumberFormat="1" applyFont="1" applyFill="1" applyBorder="1"/>
    <xf numFmtId="1" fontId="2" fillId="5" borderId="12" xfId="0" applyNumberFormat="1" applyFont="1" applyFill="1" applyBorder="1"/>
    <xf numFmtId="20" fontId="9" fillId="2" borderId="29" xfId="0" applyNumberFormat="1" applyFont="1" applyFill="1" applyBorder="1" applyAlignment="1">
      <alignment horizontal="left"/>
    </xf>
    <xf numFmtId="20" fontId="9" fillId="2" borderId="7" xfId="0" applyNumberFormat="1" applyFont="1" applyFill="1" applyBorder="1" applyAlignment="1">
      <alignment horizontal="left"/>
    </xf>
    <xf numFmtId="0" fontId="13" fillId="5" borderId="0" xfId="0" applyFont="1" applyFill="1"/>
    <xf numFmtId="0" fontId="13" fillId="5" borderId="0" xfId="0" applyFont="1" applyFill="1" applyBorder="1"/>
    <xf numFmtId="0" fontId="0" fillId="18" borderId="0" xfId="0" applyFill="1"/>
    <xf numFmtId="0" fontId="0" fillId="18" borderId="0" xfId="0" applyFill="1" applyAlignment="1">
      <alignment wrapText="1"/>
    </xf>
    <xf numFmtId="0" fontId="8" fillId="19" borderId="0" xfId="0" applyFont="1" applyFill="1"/>
    <xf numFmtId="0" fontId="0" fillId="19" borderId="0" xfId="0" applyFill="1"/>
    <xf numFmtId="0" fontId="0" fillId="19" borderId="0" xfId="0" applyFill="1" applyAlignment="1">
      <alignment wrapText="1"/>
    </xf>
    <xf numFmtId="0" fontId="8" fillId="18" borderId="0" xfId="0" applyFont="1" applyFill="1"/>
    <xf numFmtId="0" fontId="2" fillId="19" borderId="0" xfId="0" applyFont="1" applyFill="1"/>
    <xf numFmtId="0" fontId="6" fillId="19" borderId="0" xfId="0" applyFont="1" applyFill="1"/>
    <xf numFmtId="0" fontId="6" fillId="19" borderId="0" xfId="0" applyFont="1" applyFill="1" applyAlignment="1">
      <alignment horizontal="left"/>
    </xf>
    <xf numFmtId="0" fontId="9" fillId="17" borderId="13" xfId="0" applyFont="1" applyFill="1" applyBorder="1"/>
    <xf numFmtId="9" fontId="9" fillId="17" borderId="55" xfId="1" applyFont="1" applyFill="1" applyBorder="1" applyProtection="1">
      <protection locked="0"/>
    </xf>
    <xf numFmtId="0" fontId="10" fillId="17" borderId="56" xfId="0" applyFont="1" applyFill="1" applyBorder="1" applyAlignment="1">
      <alignment horizontal="centerContinuous"/>
    </xf>
    <xf numFmtId="9" fontId="9" fillId="17" borderId="57" xfId="1" applyFont="1" applyFill="1" applyBorder="1" applyAlignment="1" applyProtection="1">
      <alignment horizontal="centerContinuous"/>
      <protection locked="0"/>
    </xf>
    <xf numFmtId="164" fontId="2" fillId="0" borderId="54" xfId="2" applyNumberFormat="1" applyFont="1" applyBorder="1" applyAlignment="1">
      <alignment horizontal="left"/>
    </xf>
    <xf numFmtId="2" fontId="2" fillId="0" borderId="53" xfId="0" applyNumberFormat="1" applyFont="1" applyBorder="1" applyAlignment="1">
      <alignment horizontal="right"/>
    </xf>
    <xf numFmtId="0" fontId="16" fillId="19" borderId="0" xfId="0" applyFont="1" applyFill="1"/>
    <xf numFmtId="0" fontId="0" fillId="5" borderId="0" xfId="0" applyFont="1" applyFill="1" applyBorder="1" applyAlignment="1">
      <alignment vertical="center" wrapText="1"/>
    </xf>
    <xf numFmtId="1" fontId="0" fillId="5" borderId="0" xfId="0" applyNumberFormat="1" applyFont="1" applyFill="1" applyBorder="1" applyAlignment="1">
      <alignment vertical="center" wrapText="1"/>
    </xf>
    <xf numFmtId="0" fontId="1" fillId="5" borderId="0" xfId="1" applyNumberFormat="1" applyFont="1" applyFill="1" applyBorder="1"/>
    <xf numFmtId="0" fontId="0" fillId="5" borderId="0" xfId="0" applyNumberFormat="1" applyFill="1" applyBorder="1"/>
    <xf numFmtId="0" fontId="0" fillId="5" borderId="0" xfId="0" applyNumberFormat="1" applyFill="1"/>
    <xf numFmtId="0" fontId="0" fillId="0" borderId="10" xfId="0" applyFont="1" applyFill="1" applyBorder="1"/>
    <xf numFmtId="2" fontId="0" fillId="0" borderId="11" xfId="0" applyNumberFormat="1" applyFill="1" applyBorder="1"/>
    <xf numFmtId="2" fontId="0" fillId="0" borderId="12" xfId="0" applyNumberFormat="1" applyFill="1" applyBorder="1"/>
    <xf numFmtId="0" fontId="0" fillId="0" borderId="23" xfId="0" applyFont="1" applyFill="1" applyBorder="1"/>
    <xf numFmtId="0" fontId="0" fillId="0" borderId="14" xfId="0" applyFont="1" applyFill="1" applyBorder="1"/>
    <xf numFmtId="1" fontId="1" fillId="0" borderId="14" xfId="1" applyNumberFormat="1" applyFont="1" applyFill="1" applyBorder="1"/>
    <xf numFmtId="0" fontId="0" fillId="0" borderId="14" xfId="0" applyFill="1" applyBorder="1"/>
    <xf numFmtId="0" fontId="0" fillId="0" borderId="24" xfId="1" applyNumberFormat="1" applyFont="1" applyFill="1" applyBorder="1"/>
    <xf numFmtId="0" fontId="5" fillId="4" borderId="15" xfId="0" applyFont="1" applyFill="1" applyBorder="1" applyAlignment="1">
      <alignment horizontal="left" vertical="center" wrapText="1"/>
    </xf>
    <xf numFmtId="0" fontId="5" fillId="4" borderId="16" xfId="0" applyFont="1" applyFill="1" applyBorder="1" applyAlignment="1">
      <alignment horizontal="left" vertical="center" wrapText="1"/>
    </xf>
    <xf numFmtId="165" fontId="1" fillId="0" borderId="14" xfId="1" applyNumberFormat="1" applyFont="1" applyFill="1" applyBorder="1"/>
    <xf numFmtId="165" fontId="1" fillId="0" borderId="1" xfId="1" applyNumberFormat="1" applyFont="1" applyFill="1" applyBorder="1"/>
    <xf numFmtId="165" fontId="0" fillId="0" borderId="11" xfId="0" applyNumberFormat="1" applyFont="1" applyFill="1" applyBorder="1" applyAlignment="1">
      <alignment vertical="center" wrapText="1"/>
    </xf>
    <xf numFmtId="2" fontId="0" fillId="0" borderId="14" xfId="0" applyNumberFormat="1" applyFill="1" applyBorder="1"/>
    <xf numFmtId="2" fontId="0" fillId="0" borderId="24" xfId="0" applyNumberFormat="1" applyFill="1" applyBorder="1"/>
    <xf numFmtId="0" fontId="1" fillId="5" borderId="1" xfId="1" applyNumberFormat="1" applyFont="1" applyFill="1" applyBorder="1"/>
    <xf numFmtId="1" fontId="1" fillId="0" borderId="9" xfId="1" applyNumberFormat="1" applyFont="1" applyFill="1" applyBorder="1"/>
    <xf numFmtId="0" fontId="1" fillId="5" borderId="11" xfId="1" applyNumberFormat="1" applyFont="1" applyFill="1" applyBorder="1"/>
    <xf numFmtId="1" fontId="1" fillId="0" borderId="12" xfId="1" applyNumberFormat="1" applyFont="1" applyFill="1" applyBorder="1"/>
    <xf numFmtId="0" fontId="0" fillId="5" borderId="14" xfId="1" applyNumberFormat="1" applyFont="1" applyFill="1" applyBorder="1"/>
    <xf numFmtId="1" fontId="1" fillId="0" borderId="24" xfId="1" applyNumberFormat="1" applyFont="1" applyFill="1" applyBorder="1"/>
    <xf numFmtId="0" fontId="4" fillId="4" borderId="15" xfId="0" applyFont="1" applyFill="1" applyBorder="1" applyAlignment="1">
      <alignment vertical="center" wrapText="1"/>
    </xf>
    <xf numFmtId="0" fontId="4" fillId="4" borderId="15" xfId="0" applyFont="1" applyFill="1" applyBorder="1" applyAlignment="1">
      <alignment horizontal="center" vertical="center" wrapText="1"/>
    </xf>
    <xf numFmtId="20" fontId="4" fillId="4" borderId="16" xfId="0" applyNumberFormat="1" applyFont="1" applyFill="1" applyBorder="1" applyAlignment="1">
      <alignment horizontal="center" vertical="center" wrapText="1"/>
    </xf>
    <xf numFmtId="20" fontId="4" fillId="4" borderId="17" xfId="0" applyNumberFormat="1" applyFont="1" applyFill="1" applyBorder="1" applyAlignment="1">
      <alignment horizontal="center" vertical="center" wrapText="1"/>
    </xf>
    <xf numFmtId="20" fontId="4" fillId="4" borderId="31" xfId="0" applyNumberFormat="1" applyFont="1" applyFill="1" applyBorder="1" applyAlignment="1">
      <alignment horizontal="center" vertical="center" wrapText="1"/>
    </xf>
    <xf numFmtId="20" fontId="4" fillId="4" borderId="32" xfId="0" applyNumberFormat="1" applyFont="1" applyFill="1" applyBorder="1" applyAlignment="1">
      <alignment horizontal="center" vertical="center" wrapText="1"/>
    </xf>
    <xf numFmtId="1" fontId="0" fillId="0" borderId="1" xfId="0" applyNumberFormat="1" applyFill="1" applyBorder="1"/>
    <xf numFmtId="1" fontId="0" fillId="0" borderId="27" xfId="0" applyNumberFormat="1" applyFill="1" applyBorder="1"/>
    <xf numFmtId="1" fontId="0" fillId="0" borderId="50" xfId="0" applyNumberFormat="1" applyBorder="1"/>
    <xf numFmtId="1" fontId="0" fillId="0" borderId="51" xfId="0" applyNumberFormat="1" applyBorder="1"/>
    <xf numFmtId="1" fontId="0" fillId="0" borderId="52" xfId="0" applyNumberFormat="1" applyBorder="1"/>
    <xf numFmtId="0" fontId="2" fillId="0" borderId="15" xfId="0" applyFont="1" applyFill="1" applyBorder="1" applyAlignment="1">
      <alignment vertical="center" wrapText="1"/>
    </xf>
    <xf numFmtId="1" fontId="2" fillId="0" borderId="16" xfId="0" applyNumberFormat="1" applyFont="1" applyFill="1" applyBorder="1" applyAlignment="1">
      <alignment vertical="center"/>
    </xf>
    <xf numFmtId="1" fontId="2" fillId="0" borderId="17" xfId="0" applyNumberFormat="1" applyFont="1" applyFill="1" applyBorder="1" applyAlignment="1">
      <alignment vertic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00FF"/>
      <color rgb="FF007E39"/>
      <color rgb="FFE74B05"/>
      <color rgb="FFFFFF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Rural African Microgrid Load Profiles</a:t>
            </a:r>
          </a:p>
        </c:rich>
      </c:tx>
      <c:overlay val="0"/>
    </c:title>
    <c:autoTitleDeleted val="0"/>
    <c:plotArea>
      <c:layout>
        <c:manualLayout>
          <c:layoutTarget val="inner"/>
          <c:xMode val="edge"/>
          <c:yMode val="edge"/>
          <c:x val="7.956782330710524E-2"/>
          <c:y val="9.4394081268449004E-2"/>
          <c:w val="0.906904563724234"/>
          <c:h val="0.77344307659860179"/>
        </c:manualLayout>
      </c:layout>
      <c:lineChart>
        <c:grouping val="standard"/>
        <c:varyColors val="0"/>
        <c:ser>
          <c:idx val="0"/>
          <c:order val="0"/>
          <c:tx>
            <c:strRef>
              <c:f>'Inputs&amp;OutputSummary'!$H$6</c:f>
              <c:strCache>
                <c:ptCount val="1"/>
                <c:pt idx="0">
                  <c:v>Total Household Load</c:v>
                </c:pt>
              </c:strCache>
            </c:strRef>
          </c:tx>
          <c:spPr>
            <a:ln>
              <a:solidFill>
                <a:srgbClr val="00B050"/>
              </a:solidFill>
            </a:ln>
          </c:spPr>
          <c:marker>
            <c:symbol val="none"/>
          </c:marker>
          <c:cat>
            <c:numRef>
              <c:f>'Inputs&amp;OutputSummary'!$G$7:$G$30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'Inputs&amp;OutputSummary'!$H$7:$H$30</c:f>
              <c:numCache>
                <c:formatCode>0.00</c:formatCode>
                <c:ptCount val="24"/>
                <c:pt idx="0">
                  <c:v>0.86243458124999994</c:v>
                </c:pt>
                <c:pt idx="1">
                  <c:v>0.60610021724999985</c:v>
                </c:pt>
                <c:pt idx="2">
                  <c:v>0.46486267575000001</c:v>
                </c:pt>
                <c:pt idx="3">
                  <c:v>0.39860346900000004</c:v>
                </c:pt>
                <c:pt idx="4">
                  <c:v>0.40046411625000006</c:v>
                </c:pt>
                <c:pt idx="5">
                  <c:v>0.43433156249999993</c:v>
                </c:pt>
                <c:pt idx="6">
                  <c:v>0.52537745700000005</c:v>
                </c:pt>
                <c:pt idx="7">
                  <c:v>0.67347847875000011</c:v>
                </c:pt>
                <c:pt idx="8">
                  <c:v>1.1184673087499999</c:v>
                </c:pt>
                <c:pt idx="9">
                  <c:v>1.2460003875000001</c:v>
                </c:pt>
                <c:pt idx="10">
                  <c:v>1.2782396632499999</c:v>
                </c:pt>
                <c:pt idx="11">
                  <c:v>1.2624570749999997</c:v>
                </c:pt>
                <c:pt idx="12">
                  <c:v>0.96463685999999971</c:v>
                </c:pt>
                <c:pt idx="13">
                  <c:v>0.88417074075000013</c:v>
                </c:pt>
                <c:pt idx="14">
                  <c:v>0.85619437199999981</c:v>
                </c:pt>
                <c:pt idx="15">
                  <c:v>0.79535295674999984</c:v>
                </c:pt>
                <c:pt idx="16">
                  <c:v>1.0230443520000001</c:v>
                </c:pt>
                <c:pt idx="17">
                  <c:v>1.7882286592499996</c:v>
                </c:pt>
                <c:pt idx="18">
                  <c:v>2.6948371559999997</c:v>
                </c:pt>
                <c:pt idx="19">
                  <c:v>4.0579441649999985</c:v>
                </c:pt>
                <c:pt idx="20">
                  <c:v>5.2234401037499998</c:v>
                </c:pt>
                <c:pt idx="21">
                  <c:v>4.9098547987499996</c:v>
                </c:pt>
                <c:pt idx="22">
                  <c:v>3.1541045580000007</c:v>
                </c:pt>
                <c:pt idx="23">
                  <c:v>1.5453237855000002</c:v>
                </c:pt>
              </c:numCache>
            </c:numRef>
          </c:val>
          <c:smooth val="0"/>
          <c:extLst>
            <c:ext xmlns:c16="http://schemas.microsoft.com/office/drawing/2014/chart" uri="{C3380CC4-5D6E-409C-BE32-E72D297353CC}">
              <c16:uniqueId val="{00000000-54FF-4806-8DAC-44915634DA44}"/>
            </c:ext>
          </c:extLst>
        </c:ser>
        <c:ser>
          <c:idx val="1"/>
          <c:order val="1"/>
          <c:tx>
            <c:strRef>
              <c:f>'Inputs&amp;OutputSummary'!$I$6</c:f>
              <c:strCache>
                <c:ptCount val="1"/>
                <c:pt idx="0">
                  <c:v>Total Commercial Load</c:v>
                </c:pt>
              </c:strCache>
            </c:strRef>
          </c:tx>
          <c:spPr>
            <a:ln>
              <a:solidFill>
                <a:srgbClr val="7030A0"/>
              </a:solidFill>
            </a:ln>
          </c:spPr>
          <c:marker>
            <c:symbol val="none"/>
          </c:marker>
          <c:cat>
            <c:numRef>
              <c:f>'Inputs&amp;OutputSummary'!$G$7:$G$30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'Inputs&amp;OutputSummary'!$I$7:$I$30</c:f>
              <c:numCache>
                <c:formatCode>0.00</c:formatCode>
                <c:ptCount val="24"/>
                <c:pt idx="0">
                  <c:v>0.32679999999999998</c:v>
                </c:pt>
                <c:pt idx="1">
                  <c:v>0.32679999999999998</c:v>
                </c:pt>
                <c:pt idx="2">
                  <c:v>0.32679999999999998</c:v>
                </c:pt>
                <c:pt idx="3">
                  <c:v>0.32679999999999998</c:v>
                </c:pt>
                <c:pt idx="4">
                  <c:v>0.32679999999999998</c:v>
                </c:pt>
                <c:pt idx="5">
                  <c:v>0.32679999999999998</c:v>
                </c:pt>
                <c:pt idx="6">
                  <c:v>0.51479999999999992</c:v>
                </c:pt>
                <c:pt idx="7">
                  <c:v>0.8355999999999999</c:v>
                </c:pt>
                <c:pt idx="8">
                  <c:v>0.95199999999999996</c:v>
                </c:pt>
                <c:pt idx="9">
                  <c:v>1.0766</c:v>
                </c:pt>
                <c:pt idx="10">
                  <c:v>1.0766</c:v>
                </c:pt>
                <c:pt idx="11">
                  <c:v>1.0766</c:v>
                </c:pt>
                <c:pt idx="12">
                  <c:v>1.0766</c:v>
                </c:pt>
                <c:pt idx="13">
                  <c:v>1.0766</c:v>
                </c:pt>
                <c:pt idx="14">
                  <c:v>1.0766</c:v>
                </c:pt>
                <c:pt idx="15">
                  <c:v>1.0766</c:v>
                </c:pt>
                <c:pt idx="16">
                  <c:v>1.0214000000000001</c:v>
                </c:pt>
                <c:pt idx="17">
                  <c:v>0.69240000000000013</c:v>
                </c:pt>
                <c:pt idx="18">
                  <c:v>0.59840000000000004</c:v>
                </c:pt>
                <c:pt idx="19">
                  <c:v>0.63719999999999988</c:v>
                </c:pt>
                <c:pt idx="20">
                  <c:v>0.63719999999999988</c:v>
                </c:pt>
                <c:pt idx="21">
                  <c:v>0.63719999999999988</c:v>
                </c:pt>
                <c:pt idx="22">
                  <c:v>0.48199999999999998</c:v>
                </c:pt>
                <c:pt idx="23">
                  <c:v>0.32679999999999998</c:v>
                </c:pt>
              </c:numCache>
            </c:numRef>
          </c:val>
          <c:smooth val="0"/>
          <c:extLst>
            <c:ext xmlns:c16="http://schemas.microsoft.com/office/drawing/2014/chart" uri="{C3380CC4-5D6E-409C-BE32-E72D297353CC}">
              <c16:uniqueId val="{00000001-54FF-4806-8DAC-44915634DA44}"/>
            </c:ext>
          </c:extLst>
        </c:ser>
        <c:ser>
          <c:idx val="2"/>
          <c:order val="2"/>
          <c:tx>
            <c:strRef>
              <c:f>'Inputs&amp;OutputSummary'!$J$6</c:f>
              <c:strCache>
                <c:ptCount val="1"/>
                <c:pt idx="0">
                  <c:v>Total Household + Commercial Load</c:v>
                </c:pt>
              </c:strCache>
            </c:strRef>
          </c:tx>
          <c:spPr>
            <a:ln>
              <a:solidFill>
                <a:srgbClr val="0000FF"/>
              </a:solidFill>
            </a:ln>
          </c:spPr>
          <c:marker>
            <c:symbol val="none"/>
          </c:marker>
          <c:cat>
            <c:numRef>
              <c:f>'Inputs&amp;OutputSummary'!$G$7:$G$30</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'Inputs&amp;OutputSummary'!$J$7:$J$30</c:f>
              <c:numCache>
                <c:formatCode>0.00</c:formatCode>
                <c:ptCount val="24"/>
                <c:pt idx="0">
                  <c:v>1.18923458125</c:v>
                </c:pt>
                <c:pt idx="1">
                  <c:v>0.93290021724999983</c:v>
                </c:pt>
                <c:pt idx="2">
                  <c:v>0.79166267575000004</c:v>
                </c:pt>
                <c:pt idx="3">
                  <c:v>0.72540346899999997</c:v>
                </c:pt>
                <c:pt idx="4">
                  <c:v>0.72726411624999998</c:v>
                </c:pt>
                <c:pt idx="5">
                  <c:v>0.76113156249999991</c:v>
                </c:pt>
                <c:pt idx="6">
                  <c:v>1.040177457</c:v>
                </c:pt>
                <c:pt idx="7">
                  <c:v>1.50907847875</c:v>
                </c:pt>
                <c:pt idx="8">
                  <c:v>2.0704673087499996</c:v>
                </c:pt>
                <c:pt idx="9">
                  <c:v>2.3226003875000001</c:v>
                </c:pt>
                <c:pt idx="10">
                  <c:v>2.3548396632499999</c:v>
                </c:pt>
                <c:pt idx="11">
                  <c:v>2.3390570749999995</c:v>
                </c:pt>
                <c:pt idx="12">
                  <c:v>2.0412368599999997</c:v>
                </c:pt>
                <c:pt idx="13">
                  <c:v>1.9607707407500001</c:v>
                </c:pt>
                <c:pt idx="14">
                  <c:v>1.9327943719999998</c:v>
                </c:pt>
                <c:pt idx="15">
                  <c:v>1.87195295675</c:v>
                </c:pt>
                <c:pt idx="16">
                  <c:v>2.0444443520000002</c:v>
                </c:pt>
                <c:pt idx="17">
                  <c:v>2.4806286592499998</c:v>
                </c:pt>
                <c:pt idx="18">
                  <c:v>3.293237156</c:v>
                </c:pt>
                <c:pt idx="19">
                  <c:v>4.6951441649999985</c:v>
                </c:pt>
                <c:pt idx="20">
                  <c:v>5.8606401037499998</c:v>
                </c:pt>
                <c:pt idx="21">
                  <c:v>5.5470547987499996</c:v>
                </c:pt>
                <c:pt idx="22">
                  <c:v>3.6361045580000004</c:v>
                </c:pt>
                <c:pt idx="23">
                  <c:v>1.8721237855000001</c:v>
                </c:pt>
              </c:numCache>
            </c:numRef>
          </c:val>
          <c:smooth val="0"/>
          <c:extLst>
            <c:ext xmlns:c16="http://schemas.microsoft.com/office/drawing/2014/chart" uri="{C3380CC4-5D6E-409C-BE32-E72D297353CC}">
              <c16:uniqueId val="{00000002-54FF-4806-8DAC-44915634DA44}"/>
            </c:ext>
          </c:extLst>
        </c:ser>
        <c:dLbls>
          <c:showLegendKey val="0"/>
          <c:showVal val="0"/>
          <c:showCatName val="0"/>
          <c:showSerName val="0"/>
          <c:showPercent val="0"/>
          <c:showBubbleSize val="0"/>
        </c:dLbls>
        <c:smooth val="0"/>
        <c:axId val="146972032"/>
        <c:axId val="146978304"/>
      </c:lineChart>
      <c:catAx>
        <c:axId val="146972032"/>
        <c:scaling>
          <c:orientation val="minMax"/>
        </c:scaling>
        <c:delete val="0"/>
        <c:axPos val="b"/>
        <c:title>
          <c:tx>
            <c:rich>
              <a:bodyPr/>
              <a:lstStyle/>
              <a:p>
                <a:pPr>
                  <a:defRPr sz="1100"/>
                </a:pPr>
                <a:r>
                  <a:rPr lang="en-US" sz="1100"/>
                  <a:t>Hour of Day</a:t>
                </a:r>
              </a:p>
            </c:rich>
          </c:tx>
          <c:overlay val="0"/>
        </c:title>
        <c:numFmt formatCode="h:mm" sourceLinked="1"/>
        <c:majorTickMark val="none"/>
        <c:minorTickMark val="none"/>
        <c:tickLblPos val="nextTo"/>
        <c:crossAx val="146978304"/>
        <c:crosses val="autoZero"/>
        <c:auto val="1"/>
        <c:lblAlgn val="ctr"/>
        <c:lblOffset val="100"/>
        <c:noMultiLvlLbl val="0"/>
      </c:catAx>
      <c:valAx>
        <c:axId val="146978304"/>
        <c:scaling>
          <c:orientation val="minMax"/>
        </c:scaling>
        <c:delete val="0"/>
        <c:axPos val="l"/>
        <c:majorGridlines/>
        <c:title>
          <c:tx>
            <c:rich>
              <a:bodyPr/>
              <a:lstStyle/>
              <a:p>
                <a:pPr>
                  <a:defRPr sz="1100"/>
                </a:pPr>
                <a:r>
                  <a:rPr lang="en-US" sz="1100"/>
                  <a:t>Household Load Profile (kW)</a:t>
                </a:r>
              </a:p>
            </c:rich>
          </c:tx>
          <c:overlay val="0"/>
        </c:title>
        <c:numFmt formatCode="0.00" sourceLinked="1"/>
        <c:majorTickMark val="out"/>
        <c:minorTickMark val="none"/>
        <c:tickLblPos val="nextTo"/>
        <c:crossAx val="146972032"/>
        <c:crosses val="autoZero"/>
        <c:crossBetween val="between"/>
      </c:valAx>
    </c:plotArea>
    <c:legend>
      <c:legendPos val="r"/>
      <c:layout>
        <c:manualLayout>
          <c:xMode val="edge"/>
          <c:yMode val="edge"/>
          <c:x val="8.4698720372437752E-2"/>
          <c:y val="0.10459531348657805"/>
          <c:w val="0.18989974966535433"/>
          <c:h val="0.25597647876395846"/>
        </c:manualLayout>
      </c:layout>
      <c:overlay val="0"/>
      <c:spPr>
        <a:solidFill>
          <a:schemeClr val="bg1"/>
        </a:solidFill>
        <a:ln>
          <a:solidFill>
            <a:schemeClr val="tx1"/>
          </a:solidFill>
        </a:ln>
      </c:spPr>
      <c:txPr>
        <a:bodyPr/>
        <a:lstStyle/>
        <a:p>
          <a:pPr>
            <a:defRPr sz="140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Rural African</a:t>
            </a:r>
            <a:r>
              <a:rPr lang="en-US" baseline="0"/>
              <a:t> Single </a:t>
            </a:r>
            <a:r>
              <a:rPr lang="en-US"/>
              <a:t>Household Daily</a:t>
            </a:r>
            <a:r>
              <a:rPr lang="en-US" baseline="0"/>
              <a:t> Load Profiles</a:t>
            </a:r>
            <a:endParaRPr lang="en-US"/>
          </a:p>
        </c:rich>
      </c:tx>
      <c:overlay val="0"/>
    </c:title>
    <c:autoTitleDeleted val="0"/>
    <c:plotArea>
      <c:layout>
        <c:manualLayout>
          <c:layoutTarget val="inner"/>
          <c:xMode val="edge"/>
          <c:yMode val="edge"/>
          <c:x val="0.11131361365444289"/>
          <c:y val="0.10541096537574718"/>
          <c:w val="0.88868638634555708"/>
          <c:h val="0.80490020887500813"/>
        </c:manualLayout>
      </c:layout>
      <c:lineChart>
        <c:grouping val="standard"/>
        <c:varyColors val="0"/>
        <c:ser>
          <c:idx val="0"/>
          <c:order val="0"/>
          <c:tx>
            <c:strRef>
              <c:f>HouseholdLoadProfiles!$C$4</c:f>
              <c:strCache>
                <c:ptCount val="1"/>
                <c:pt idx="0">
                  <c:v>High Income Household</c:v>
                </c:pt>
              </c:strCache>
            </c:strRef>
          </c:tx>
          <c:spPr>
            <a:ln w="1905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HouseholdLoadProfiles!$C$5:$C$28</c:f>
              <c:numCache>
                <c:formatCode>0.0</c:formatCode>
                <c:ptCount val="24"/>
                <c:pt idx="0">
                  <c:v>8.5</c:v>
                </c:pt>
                <c:pt idx="1">
                  <c:v>8.5</c:v>
                </c:pt>
                <c:pt idx="2">
                  <c:v>8.5</c:v>
                </c:pt>
                <c:pt idx="3">
                  <c:v>8.5</c:v>
                </c:pt>
                <c:pt idx="4">
                  <c:v>8.5</c:v>
                </c:pt>
                <c:pt idx="5">
                  <c:v>8.5</c:v>
                </c:pt>
                <c:pt idx="6">
                  <c:v>10.012</c:v>
                </c:pt>
                <c:pt idx="7">
                  <c:v>10.012</c:v>
                </c:pt>
                <c:pt idx="8">
                  <c:v>29.862000000000002</c:v>
                </c:pt>
                <c:pt idx="9">
                  <c:v>29.862000000000002</c:v>
                </c:pt>
                <c:pt idx="10">
                  <c:v>29.862000000000002</c:v>
                </c:pt>
                <c:pt idx="11">
                  <c:v>32.130000000000003</c:v>
                </c:pt>
                <c:pt idx="12">
                  <c:v>17.98</c:v>
                </c:pt>
                <c:pt idx="13">
                  <c:v>17.98</c:v>
                </c:pt>
                <c:pt idx="14">
                  <c:v>17.98</c:v>
                </c:pt>
                <c:pt idx="15">
                  <c:v>11.35</c:v>
                </c:pt>
                <c:pt idx="16">
                  <c:v>11.35</c:v>
                </c:pt>
                <c:pt idx="17">
                  <c:v>28.36</c:v>
                </c:pt>
                <c:pt idx="18">
                  <c:v>42.589999999999996</c:v>
                </c:pt>
                <c:pt idx="19">
                  <c:v>75.87</c:v>
                </c:pt>
                <c:pt idx="20">
                  <c:v>112.77</c:v>
                </c:pt>
                <c:pt idx="21">
                  <c:v>107.35</c:v>
                </c:pt>
                <c:pt idx="22">
                  <c:v>55.410000000000004</c:v>
                </c:pt>
                <c:pt idx="23">
                  <c:v>15.25</c:v>
                </c:pt>
              </c:numCache>
            </c:numRef>
          </c:val>
          <c:smooth val="0"/>
          <c:extLst>
            <c:ext xmlns:c16="http://schemas.microsoft.com/office/drawing/2014/chart" uri="{C3380CC4-5D6E-409C-BE32-E72D297353CC}">
              <c16:uniqueId val="{00000000-E6C5-49DF-8817-34BF3122A002}"/>
            </c:ext>
          </c:extLst>
        </c:ser>
        <c:ser>
          <c:idx val="1"/>
          <c:order val="1"/>
          <c:tx>
            <c:strRef>
              <c:f>HouseholdLoadProfiles!$D$4</c:f>
              <c:strCache>
                <c:ptCount val="1"/>
                <c:pt idx="0">
                  <c:v>Medium Income Household</c:v>
                </c:pt>
              </c:strCache>
            </c:strRef>
          </c:tx>
          <c:spPr>
            <a:ln w="1905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HouseholdLoadProfiles!$D$5:$D$28</c:f>
              <c:numCache>
                <c:formatCode>0.0</c:formatCode>
                <c:ptCount val="24"/>
                <c:pt idx="0">
                  <c:v>2</c:v>
                </c:pt>
                <c:pt idx="1">
                  <c:v>2</c:v>
                </c:pt>
                <c:pt idx="2">
                  <c:v>2</c:v>
                </c:pt>
                <c:pt idx="3">
                  <c:v>2</c:v>
                </c:pt>
                <c:pt idx="4">
                  <c:v>2</c:v>
                </c:pt>
                <c:pt idx="5">
                  <c:v>2</c:v>
                </c:pt>
                <c:pt idx="6">
                  <c:v>2.88</c:v>
                </c:pt>
                <c:pt idx="7">
                  <c:v>2.88</c:v>
                </c:pt>
                <c:pt idx="8">
                  <c:v>8.9425000000000008</c:v>
                </c:pt>
                <c:pt idx="9">
                  <c:v>8.9425000000000008</c:v>
                </c:pt>
                <c:pt idx="10">
                  <c:v>8.9425000000000008</c:v>
                </c:pt>
                <c:pt idx="11">
                  <c:v>10.262500000000001</c:v>
                </c:pt>
                <c:pt idx="12">
                  <c:v>5.3250000000000002</c:v>
                </c:pt>
                <c:pt idx="13">
                  <c:v>5.3250000000000002</c:v>
                </c:pt>
                <c:pt idx="14">
                  <c:v>5.3250000000000002</c:v>
                </c:pt>
                <c:pt idx="15">
                  <c:v>2.5625</c:v>
                </c:pt>
                <c:pt idx="16">
                  <c:v>2.5625</c:v>
                </c:pt>
                <c:pt idx="17">
                  <c:v>13.150000000000002</c:v>
                </c:pt>
                <c:pt idx="18">
                  <c:v>21.094999999999999</c:v>
                </c:pt>
                <c:pt idx="19">
                  <c:v>40.29</c:v>
                </c:pt>
                <c:pt idx="20">
                  <c:v>60.54</c:v>
                </c:pt>
                <c:pt idx="21">
                  <c:v>56.11</c:v>
                </c:pt>
                <c:pt idx="22">
                  <c:v>28.015000000000001</c:v>
                </c:pt>
                <c:pt idx="23">
                  <c:v>6.5</c:v>
                </c:pt>
              </c:numCache>
            </c:numRef>
          </c:val>
          <c:smooth val="0"/>
          <c:extLst>
            <c:ext xmlns:c16="http://schemas.microsoft.com/office/drawing/2014/chart" uri="{C3380CC4-5D6E-409C-BE32-E72D297353CC}">
              <c16:uniqueId val="{00000001-E6C5-49DF-8817-34BF3122A002}"/>
            </c:ext>
          </c:extLst>
        </c:ser>
        <c:ser>
          <c:idx val="2"/>
          <c:order val="2"/>
          <c:tx>
            <c:strRef>
              <c:f>HouseholdLoadProfiles!$E$4</c:f>
              <c:strCache>
                <c:ptCount val="1"/>
                <c:pt idx="0">
                  <c:v>Low Income Household</c:v>
                </c:pt>
              </c:strCache>
            </c:strRef>
          </c:tx>
          <c:spPr>
            <a:ln w="1905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HouseholdLoadProfiles!$E$5:$E$28</c:f>
              <c:numCache>
                <c:formatCode>0.0</c:formatCode>
                <c:ptCount val="24"/>
                <c:pt idx="0">
                  <c:v>0.5</c:v>
                </c:pt>
                <c:pt idx="1">
                  <c:v>0.5</c:v>
                </c:pt>
                <c:pt idx="2">
                  <c:v>0.5</c:v>
                </c:pt>
                <c:pt idx="3">
                  <c:v>0.5</c:v>
                </c:pt>
                <c:pt idx="4">
                  <c:v>0.5</c:v>
                </c:pt>
                <c:pt idx="5">
                  <c:v>0.5</c:v>
                </c:pt>
                <c:pt idx="6">
                  <c:v>0.82800000000000007</c:v>
                </c:pt>
                <c:pt idx="7">
                  <c:v>0.82800000000000007</c:v>
                </c:pt>
                <c:pt idx="8">
                  <c:v>1.9405000000000001</c:v>
                </c:pt>
                <c:pt idx="9">
                  <c:v>1.9405000000000001</c:v>
                </c:pt>
                <c:pt idx="10">
                  <c:v>1.9405000000000001</c:v>
                </c:pt>
                <c:pt idx="11">
                  <c:v>2.4325000000000001</c:v>
                </c:pt>
                <c:pt idx="12">
                  <c:v>1.5449999999999999</c:v>
                </c:pt>
                <c:pt idx="13">
                  <c:v>1.5449999999999999</c:v>
                </c:pt>
                <c:pt idx="14">
                  <c:v>1.5449999999999999</c:v>
                </c:pt>
                <c:pt idx="15">
                  <c:v>0.61250000000000004</c:v>
                </c:pt>
                <c:pt idx="16">
                  <c:v>0.61250000000000004</c:v>
                </c:pt>
                <c:pt idx="17">
                  <c:v>4.54</c:v>
                </c:pt>
                <c:pt idx="18">
                  <c:v>8.0950000000000006</c:v>
                </c:pt>
                <c:pt idx="19">
                  <c:v>16.3</c:v>
                </c:pt>
                <c:pt idx="20">
                  <c:v>23.5</c:v>
                </c:pt>
                <c:pt idx="21">
                  <c:v>21.355</c:v>
                </c:pt>
                <c:pt idx="22">
                  <c:v>11.21</c:v>
                </c:pt>
                <c:pt idx="23">
                  <c:v>2.75</c:v>
                </c:pt>
              </c:numCache>
            </c:numRef>
          </c:val>
          <c:smooth val="0"/>
          <c:extLst>
            <c:ext xmlns:c16="http://schemas.microsoft.com/office/drawing/2014/chart" uri="{C3380CC4-5D6E-409C-BE32-E72D297353CC}">
              <c16:uniqueId val="{00000002-E6C5-49DF-8817-34BF3122A002}"/>
            </c:ext>
          </c:extLst>
        </c:ser>
        <c:ser>
          <c:idx val="3"/>
          <c:order val="3"/>
          <c:tx>
            <c:strRef>
              <c:f>HouseholdLoadProfiles!$F$4</c:f>
              <c:strCache>
                <c:ptCount val="1"/>
                <c:pt idx="0">
                  <c:v>All Households Assuming Varying % High, Medium, and Low Income</c:v>
                </c:pt>
              </c:strCache>
            </c:strRef>
          </c:tx>
          <c:spPr>
            <a:ln w="38100"/>
          </c:spPr>
          <c:marker>
            <c:symbol val="none"/>
          </c:marker>
          <c:cat>
            <c:numRef>
              <c:f>HouseholdLoadProfiles!$B$5:$B$28</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HouseholdLoadProfiles!$F$5:$F$28</c:f>
              <c:numCache>
                <c:formatCode>0.0</c:formatCode>
                <c:ptCount val="24"/>
                <c:pt idx="0">
                  <c:v>3.6663000000000001</c:v>
                </c:pt>
                <c:pt idx="1">
                  <c:v>3.6663000000000001</c:v>
                </c:pt>
                <c:pt idx="2">
                  <c:v>3.6663000000000001</c:v>
                </c:pt>
                <c:pt idx="3">
                  <c:v>3.6663000000000001</c:v>
                </c:pt>
                <c:pt idx="4">
                  <c:v>3.6663000000000001</c:v>
                </c:pt>
                <c:pt idx="5">
                  <c:v>3.6663000000000001</c:v>
                </c:pt>
                <c:pt idx="6">
                  <c:v>4.5728759999999999</c:v>
                </c:pt>
                <c:pt idx="7">
                  <c:v>4.5728759999999999</c:v>
                </c:pt>
                <c:pt idx="8">
                  <c:v>13.580308499999999</c:v>
                </c:pt>
                <c:pt idx="9">
                  <c:v>13.580308499999999</c:v>
                </c:pt>
                <c:pt idx="10">
                  <c:v>13.580308499999999</c:v>
                </c:pt>
                <c:pt idx="11">
                  <c:v>14.940172500000001</c:v>
                </c:pt>
                <c:pt idx="12">
                  <c:v>8.2825049999999987</c:v>
                </c:pt>
                <c:pt idx="13">
                  <c:v>8.2825049999999987</c:v>
                </c:pt>
                <c:pt idx="14">
                  <c:v>8.2825049999999987</c:v>
                </c:pt>
                <c:pt idx="15">
                  <c:v>4.8411824999999995</c:v>
                </c:pt>
                <c:pt idx="16">
                  <c:v>4.8411824999999995</c:v>
                </c:pt>
                <c:pt idx="17">
                  <c:v>15.348465000000001</c:v>
                </c:pt>
                <c:pt idx="18">
                  <c:v>23.924273999999997</c:v>
                </c:pt>
                <c:pt idx="19">
                  <c:v>44.148917999999995</c:v>
                </c:pt>
                <c:pt idx="20">
                  <c:v>65.596772999999999</c:v>
                </c:pt>
                <c:pt idx="21">
                  <c:v>61.598839499999997</c:v>
                </c:pt>
                <c:pt idx="22">
                  <c:v>31.541845500000001</c:v>
                </c:pt>
                <c:pt idx="23">
                  <c:v>8.1658499999999989</c:v>
                </c:pt>
              </c:numCache>
            </c:numRef>
          </c:val>
          <c:smooth val="0"/>
          <c:extLst>
            <c:ext xmlns:c16="http://schemas.microsoft.com/office/drawing/2014/chart" uri="{C3380CC4-5D6E-409C-BE32-E72D297353CC}">
              <c16:uniqueId val="{00000003-E6C5-49DF-8817-34BF3122A002}"/>
            </c:ext>
          </c:extLst>
        </c:ser>
        <c:dLbls>
          <c:showLegendKey val="0"/>
          <c:showVal val="0"/>
          <c:showCatName val="0"/>
          <c:showSerName val="0"/>
          <c:showPercent val="0"/>
          <c:showBubbleSize val="0"/>
        </c:dLbls>
        <c:smooth val="0"/>
        <c:axId val="147122048"/>
        <c:axId val="147123584"/>
      </c:lineChart>
      <c:catAx>
        <c:axId val="147122048"/>
        <c:scaling>
          <c:orientation val="minMax"/>
        </c:scaling>
        <c:delete val="0"/>
        <c:axPos val="b"/>
        <c:numFmt formatCode="h:mm" sourceLinked="1"/>
        <c:majorTickMark val="none"/>
        <c:minorTickMark val="none"/>
        <c:tickLblPos val="nextTo"/>
        <c:crossAx val="147123584"/>
        <c:crosses val="autoZero"/>
        <c:auto val="1"/>
        <c:lblAlgn val="ctr"/>
        <c:lblOffset val="100"/>
        <c:noMultiLvlLbl val="0"/>
      </c:catAx>
      <c:valAx>
        <c:axId val="147123584"/>
        <c:scaling>
          <c:orientation val="minMax"/>
        </c:scaling>
        <c:delete val="0"/>
        <c:axPos val="l"/>
        <c:majorGridlines/>
        <c:title>
          <c:tx>
            <c:rich>
              <a:bodyPr/>
              <a:lstStyle/>
              <a:p>
                <a:pPr>
                  <a:defRPr sz="1200"/>
                </a:pPr>
                <a:r>
                  <a:rPr lang="en-US" sz="1200"/>
                  <a:t>Single Household</a:t>
                </a:r>
                <a:r>
                  <a:rPr lang="en-US" sz="1200" baseline="0"/>
                  <a:t> Load Profile (W) </a:t>
                </a:r>
                <a:endParaRPr lang="en-US" sz="1200"/>
              </a:p>
            </c:rich>
          </c:tx>
          <c:overlay val="0"/>
        </c:title>
        <c:numFmt formatCode="0.0" sourceLinked="1"/>
        <c:majorTickMark val="out"/>
        <c:minorTickMark val="none"/>
        <c:tickLblPos val="nextTo"/>
        <c:crossAx val="147122048"/>
        <c:crosses val="autoZero"/>
        <c:crossBetween val="between"/>
      </c:valAx>
    </c:plotArea>
    <c:legend>
      <c:legendPos val="r"/>
      <c:layout>
        <c:manualLayout>
          <c:xMode val="edge"/>
          <c:yMode val="edge"/>
          <c:x val="0.11795413214107849"/>
          <c:y val="0.11988883954913353"/>
          <c:w val="0.34619005392639601"/>
          <c:h val="0.44429602951079217"/>
        </c:manualLayout>
      </c:layout>
      <c:overlay val="0"/>
      <c:spPr>
        <a:solidFill>
          <a:schemeClr val="bg1"/>
        </a:solidFill>
        <a:ln>
          <a:solidFill>
            <a:schemeClr val="tx1"/>
          </a:solidFill>
        </a:ln>
      </c:spPr>
      <c:txPr>
        <a:bodyPr/>
        <a:lstStyle/>
        <a:p>
          <a:pPr>
            <a:defRPr sz="120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Commercial Load Profile</a:t>
            </a:r>
          </a:p>
        </c:rich>
      </c:tx>
      <c:overlay val="0"/>
    </c:title>
    <c:autoTitleDeleted val="0"/>
    <c:plotArea>
      <c:layout>
        <c:manualLayout>
          <c:layoutTarget val="inner"/>
          <c:xMode val="edge"/>
          <c:yMode val="edge"/>
          <c:x val="8.9745041719825613E-2"/>
          <c:y val="0.10513203943585162"/>
          <c:w val="0.89783498097648728"/>
          <c:h val="0.74767071107177296"/>
        </c:manualLayout>
      </c:layout>
      <c:lineChart>
        <c:grouping val="standard"/>
        <c:varyColors val="0"/>
        <c:ser>
          <c:idx val="0"/>
          <c:order val="0"/>
          <c:tx>
            <c:strRef>
              <c:f>CommercialLoadProfiles!$B$70</c:f>
              <c:strCache>
                <c:ptCount val="1"/>
                <c:pt idx="0">
                  <c:v>Total Commercial Load</c:v>
                </c:pt>
              </c:strCache>
            </c:strRef>
          </c:tx>
          <c:spPr>
            <a:ln>
              <a:solidFill>
                <a:srgbClr val="7030A0"/>
              </a:solidFill>
            </a:ln>
          </c:spPr>
          <c:marker>
            <c:symbol val="none"/>
          </c:marker>
          <c:cat>
            <c:numRef>
              <c:f>CommercialLoadProfiles!$C$63:$Z$63</c:f>
              <c:numCache>
                <c:formatCode>h:mm</c:formatCode>
                <c:ptCount val="24"/>
                <c:pt idx="0">
                  <c:v>0</c:v>
                </c:pt>
                <c:pt idx="1">
                  <c:v>4.1666666666666699E-2</c:v>
                </c:pt>
                <c:pt idx="2">
                  <c:v>8.3333333333333301E-2</c:v>
                </c:pt>
                <c:pt idx="3">
                  <c:v>0.125</c:v>
                </c:pt>
                <c:pt idx="4">
                  <c:v>0.16666666666666699</c:v>
                </c:pt>
                <c:pt idx="5">
                  <c:v>0.20833333333333301</c:v>
                </c:pt>
                <c:pt idx="6">
                  <c:v>0.25</c:v>
                </c:pt>
                <c:pt idx="7">
                  <c:v>0.29166666666666702</c:v>
                </c:pt>
                <c:pt idx="8">
                  <c:v>0.33333333333333298</c:v>
                </c:pt>
                <c:pt idx="9">
                  <c:v>0.375</c:v>
                </c:pt>
                <c:pt idx="10">
                  <c:v>0.41666666666666702</c:v>
                </c:pt>
                <c:pt idx="11">
                  <c:v>0.45833333333333298</c:v>
                </c:pt>
                <c:pt idx="12">
                  <c:v>0.5</c:v>
                </c:pt>
                <c:pt idx="13">
                  <c:v>0.54166666666666696</c:v>
                </c:pt>
                <c:pt idx="14">
                  <c:v>0.58333333333333304</c:v>
                </c:pt>
                <c:pt idx="15">
                  <c:v>0.625</c:v>
                </c:pt>
                <c:pt idx="16">
                  <c:v>0.66666666666666696</c:v>
                </c:pt>
                <c:pt idx="17">
                  <c:v>0.70833333333333304</c:v>
                </c:pt>
                <c:pt idx="18">
                  <c:v>0.75</c:v>
                </c:pt>
                <c:pt idx="19">
                  <c:v>0.79166666666666696</c:v>
                </c:pt>
                <c:pt idx="20">
                  <c:v>0.83333333333333304</c:v>
                </c:pt>
                <c:pt idx="21">
                  <c:v>0.875</c:v>
                </c:pt>
                <c:pt idx="22">
                  <c:v>0.91666666666666696</c:v>
                </c:pt>
                <c:pt idx="23">
                  <c:v>0.95833333333333304</c:v>
                </c:pt>
              </c:numCache>
            </c:numRef>
          </c:cat>
          <c:val>
            <c:numRef>
              <c:f>CommercialLoadProfiles!$C$70:$Z$70</c:f>
              <c:numCache>
                <c:formatCode>0</c:formatCode>
                <c:ptCount val="24"/>
                <c:pt idx="0">
                  <c:v>326.79999999999995</c:v>
                </c:pt>
                <c:pt idx="1">
                  <c:v>326.79999999999995</c:v>
                </c:pt>
                <c:pt idx="2">
                  <c:v>326.79999999999995</c:v>
                </c:pt>
                <c:pt idx="3">
                  <c:v>326.79999999999995</c:v>
                </c:pt>
                <c:pt idx="4">
                  <c:v>326.79999999999995</c:v>
                </c:pt>
                <c:pt idx="5">
                  <c:v>326.79999999999995</c:v>
                </c:pt>
                <c:pt idx="6">
                  <c:v>514.79999999999995</c:v>
                </c:pt>
                <c:pt idx="7">
                  <c:v>835.59999999999991</c:v>
                </c:pt>
                <c:pt idx="8">
                  <c:v>952</c:v>
                </c:pt>
                <c:pt idx="9">
                  <c:v>1076.5999999999999</c:v>
                </c:pt>
                <c:pt idx="10">
                  <c:v>1076.5999999999999</c:v>
                </c:pt>
                <c:pt idx="11">
                  <c:v>1076.5999999999999</c:v>
                </c:pt>
                <c:pt idx="12">
                  <c:v>1076.5999999999999</c:v>
                </c:pt>
                <c:pt idx="13">
                  <c:v>1076.5999999999999</c:v>
                </c:pt>
                <c:pt idx="14">
                  <c:v>1076.5999999999999</c:v>
                </c:pt>
                <c:pt idx="15">
                  <c:v>1076.5999999999999</c:v>
                </c:pt>
                <c:pt idx="16">
                  <c:v>1021.4000000000001</c:v>
                </c:pt>
                <c:pt idx="17">
                  <c:v>692.40000000000009</c:v>
                </c:pt>
                <c:pt idx="18">
                  <c:v>598.40000000000009</c:v>
                </c:pt>
                <c:pt idx="19">
                  <c:v>637.19999999999993</c:v>
                </c:pt>
                <c:pt idx="20">
                  <c:v>637.19999999999993</c:v>
                </c:pt>
                <c:pt idx="21">
                  <c:v>637.19999999999993</c:v>
                </c:pt>
                <c:pt idx="22">
                  <c:v>482</c:v>
                </c:pt>
                <c:pt idx="23">
                  <c:v>326.79999999999995</c:v>
                </c:pt>
              </c:numCache>
            </c:numRef>
          </c:val>
          <c:smooth val="0"/>
          <c:extLst>
            <c:ext xmlns:c16="http://schemas.microsoft.com/office/drawing/2014/chart" uri="{C3380CC4-5D6E-409C-BE32-E72D297353CC}">
              <c16:uniqueId val="{00000000-CD41-4E86-AEC0-E022ED9EE47B}"/>
            </c:ext>
          </c:extLst>
        </c:ser>
        <c:dLbls>
          <c:showLegendKey val="0"/>
          <c:showVal val="0"/>
          <c:showCatName val="0"/>
          <c:showSerName val="0"/>
          <c:showPercent val="0"/>
          <c:showBubbleSize val="0"/>
        </c:dLbls>
        <c:hiLowLines/>
        <c:smooth val="0"/>
        <c:axId val="147044608"/>
        <c:axId val="147050496"/>
      </c:lineChart>
      <c:catAx>
        <c:axId val="147044608"/>
        <c:scaling>
          <c:orientation val="minMax"/>
        </c:scaling>
        <c:delete val="0"/>
        <c:axPos val="b"/>
        <c:numFmt formatCode="h:mm" sourceLinked="1"/>
        <c:majorTickMark val="none"/>
        <c:minorTickMark val="none"/>
        <c:tickLblPos val="nextTo"/>
        <c:crossAx val="147050496"/>
        <c:crosses val="autoZero"/>
        <c:auto val="1"/>
        <c:lblAlgn val="ctr"/>
        <c:lblOffset val="100"/>
        <c:noMultiLvlLbl val="0"/>
      </c:catAx>
      <c:valAx>
        <c:axId val="147050496"/>
        <c:scaling>
          <c:orientation val="minMax"/>
        </c:scaling>
        <c:delete val="0"/>
        <c:axPos val="l"/>
        <c:majorGridlines/>
        <c:title>
          <c:tx>
            <c:rich>
              <a:bodyPr/>
              <a:lstStyle/>
              <a:p>
                <a:pPr>
                  <a:defRPr sz="1400"/>
                </a:pPr>
                <a:r>
                  <a:rPr lang="en-US" sz="1400"/>
                  <a:t>Commercial</a:t>
                </a:r>
                <a:r>
                  <a:rPr lang="en-US" sz="1400" baseline="0"/>
                  <a:t> Load (W)</a:t>
                </a:r>
              </a:p>
            </c:rich>
          </c:tx>
          <c:overlay val="0"/>
        </c:title>
        <c:numFmt formatCode="0" sourceLinked="1"/>
        <c:majorTickMark val="out"/>
        <c:minorTickMark val="none"/>
        <c:tickLblPos val="nextTo"/>
        <c:crossAx val="147044608"/>
        <c:crosses val="autoZero"/>
        <c:crossBetween val="between"/>
      </c:valAx>
    </c:plotArea>
    <c:legend>
      <c:legendPos val="r"/>
      <c:layout>
        <c:manualLayout>
          <c:xMode val="edge"/>
          <c:yMode val="edge"/>
          <c:x val="0.11822936921079147"/>
          <c:y val="0.14730663395100799"/>
          <c:w val="0.22797410232521872"/>
          <c:h val="4.8210806673002836E-2"/>
        </c:manualLayout>
      </c:layout>
      <c:overlay val="0"/>
      <c:spPr>
        <a:solidFill>
          <a:schemeClr val="bg1"/>
        </a:solidFill>
        <a:ln>
          <a:solidFill>
            <a:schemeClr val="tx1"/>
          </a:solidFill>
        </a:ln>
      </c:spPr>
      <c:txPr>
        <a:bodyPr/>
        <a:lstStyle/>
        <a:p>
          <a:pPr>
            <a:defRPr sz="1100"/>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Original and Shifted</a:t>
            </a:r>
            <a:r>
              <a:rPr lang="en-US" baseline="0"/>
              <a:t> Load Profiles for 100 Households</a:t>
            </a:r>
            <a:endParaRPr lang="en-US"/>
          </a:p>
        </c:rich>
      </c:tx>
      <c:overlay val="0"/>
    </c:title>
    <c:autoTitleDeleted val="0"/>
    <c:plotArea>
      <c:layout>
        <c:manualLayout>
          <c:layoutTarget val="inner"/>
          <c:xMode val="edge"/>
          <c:yMode val="edge"/>
          <c:x val="9.4655764460001832E-2"/>
          <c:y val="0.13516972699957025"/>
          <c:w val="0.87268374633928469"/>
          <c:h val="0.71230046159835103"/>
        </c:manualLayout>
      </c:layout>
      <c:lineChart>
        <c:grouping val="standard"/>
        <c:varyColors val="0"/>
        <c:ser>
          <c:idx val="0"/>
          <c:order val="0"/>
          <c:tx>
            <c:strRef>
              <c:f>CoincidenceFactor_HouseholdLoad!$D$29</c:f>
              <c:strCache>
                <c:ptCount val="1"/>
                <c:pt idx="0">
                  <c:v>Original Load Profile</c:v>
                </c:pt>
              </c:strCache>
            </c:strRef>
          </c:tx>
          <c:marker>
            <c:symbol val="none"/>
          </c:marker>
          <c:val>
            <c:numRef>
              <c:f>CoincidenceFactor_HouseholdLoad!$D$30:$D$53</c:f>
              <c:numCache>
                <c:formatCode>0.0000</c:formatCode>
                <c:ptCount val="24"/>
                <c:pt idx="0">
                  <c:v>3.6663000000000001</c:v>
                </c:pt>
                <c:pt idx="1">
                  <c:v>3.6663000000000001</c:v>
                </c:pt>
                <c:pt idx="2">
                  <c:v>3.6663000000000001</c:v>
                </c:pt>
                <c:pt idx="3">
                  <c:v>3.6663000000000001</c:v>
                </c:pt>
                <c:pt idx="4">
                  <c:v>3.6663000000000001</c:v>
                </c:pt>
                <c:pt idx="5">
                  <c:v>3.6663000000000001</c:v>
                </c:pt>
                <c:pt idx="6">
                  <c:v>4.5728759999999999</c:v>
                </c:pt>
                <c:pt idx="7">
                  <c:v>4.5728759999999999</c:v>
                </c:pt>
                <c:pt idx="8">
                  <c:v>13.580308499999999</c:v>
                </c:pt>
                <c:pt idx="9">
                  <c:v>13.580308499999999</c:v>
                </c:pt>
                <c:pt idx="10">
                  <c:v>13.580308499999999</c:v>
                </c:pt>
                <c:pt idx="11">
                  <c:v>14.940172500000001</c:v>
                </c:pt>
                <c:pt idx="12">
                  <c:v>8.2825049999999987</c:v>
                </c:pt>
                <c:pt idx="13">
                  <c:v>8.2825049999999987</c:v>
                </c:pt>
                <c:pt idx="14">
                  <c:v>8.2825049999999987</c:v>
                </c:pt>
                <c:pt idx="15">
                  <c:v>4.8411824999999995</c:v>
                </c:pt>
                <c:pt idx="16">
                  <c:v>4.8411824999999995</c:v>
                </c:pt>
                <c:pt idx="17">
                  <c:v>15.348465000000001</c:v>
                </c:pt>
                <c:pt idx="18">
                  <c:v>23.924273999999997</c:v>
                </c:pt>
                <c:pt idx="19">
                  <c:v>44.148917999999995</c:v>
                </c:pt>
                <c:pt idx="20">
                  <c:v>65.596772999999999</c:v>
                </c:pt>
                <c:pt idx="21">
                  <c:v>61.598839499999997</c:v>
                </c:pt>
                <c:pt idx="22">
                  <c:v>31.541845500000001</c:v>
                </c:pt>
                <c:pt idx="23">
                  <c:v>8.1658499999999989</c:v>
                </c:pt>
              </c:numCache>
            </c:numRef>
          </c:val>
          <c:smooth val="0"/>
          <c:extLst>
            <c:ext xmlns:c16="http://schemas.microsoft.com/office/drawing/2014/chart" uri="{C3380CC4-5D6E-409C-BE32-E72D297353CC}">
              <c16:uniqueId val="{00000000-9DEF-41BF-A7DA-D53ED57D8995}"/>
            </c:ext>
          </c:extLst>
        </c:ser>
        <c:ser>
          <c:idx val="1"/>
          <c:order val="1"/>
          <c:tx>
            <c:strRef>
              <c:f>CoincidenceFactor_HouseholdLoad!$P$29</c:f>
              <c:strCache>
                <c:ptCount val="1"/>
                <c:pt idx="0">
                  <c:v>Load Profile with 80% Coincidence Factor</c:v>
                </c:pt>
              </c:strCache>
            </c:strRef>
          </c:tx>
          <c:marker>
            <c:symbol val="none"/>
          </c:marker>
          <c:val>
            <c:numRef>
              <c:f>CoincidenceFactor_HouseholdLoad!$P$30:$P$53</c:f>
              <c:numCache>
                <c:formatCode>0.0000</c:formatCode>
                <c:ptCount val="24"/>
                <c:pt idx="0">
                  <c:v>8.6243458124999997</c:v>
                </c:pt>
                <c:pt idx="1">
                  <c:v>6.0610021724999994</c:v>
                </c:pt>
                <c:pt idx="2">
                  <c:v>4.6486267574999998</c:v>
                </c:pt>
                <c:pt idx="3">
                  <c:v>3.9860346900000003</c:v>
                </c:pt>
                <c:pt idx="4">
                  <c:v>4.0046411625000005</c:v>
                </c:pt>
                <c:pt idx="5">
                  <c:v>4.3433156249999998</c:v>
                </c:pt>
                <c:pt idx="6">
                  <c:v>5.2537745700000009</c:v>
                </c:pt>
                <c:pt idx="7">
                  <c:v>6.7347847875000015</c:v>
                </c:pt>
                <c:pt idx="8">
                  <c:v>11.184673087499998</c:v>
                </c:pt>
                <c:pt idx="9">
                  <c:v>12.460003875</c:v>
                </c:pt>
                <c:pt idx="10">
                  <c:v>12.782396632499999</c:v>
                </c:pt>
                <c:pt idx="11">
                  <c:v>12.624570749999998</c:v>
                </c:pt>
                <c:pt idx="12">
                  <c:v>9.6463685999999971</c:v>
                </c:pt>
                <c:pt idx="13">
                  <c:v>8.8417074075000013</c:v>
                </c:pt>
                <c:pt idx="14">
                  <c:v>8.5619437199999986</c:v>
                </c:pt>
                <c:pt idx="15">
                  <c:v>7.9535295674999986</c:v>
                </c:pt>
                <c:pt idx="16">
                  <c:v>10.230443520000001</c:v>
                </c:pt>
                <c:pt idx="17">
                  <c:v>17.882286592499998</c:v>
                </c:pt>
                <c:pt idx="18">
                  <c:v>26.948371559999995</c:v>
                </c:pt>
                <c:pt idx="19">
                  <c:v>40.579441649999985</c:v>
                </c:pt>
                <c:pt idx="20">
                  <c:v>52.2344010375</c:v>
                </c:pt>
                <c:pt idx="21">
                  <c:v>49.098547987499998</c:v>
                </c:pt>
                <c:pt idx="22">
                  <c:v>31.541045580000006</c:v>
                </c:pt>
                <c:pt idx="23">
                  <c:v>15.453237855000001</c:v>
                </c:pt>
              </c:numCache>
            </c:numRef>
          </c:val>
          <c:smooth val="0"/>
          <c:extLst>
            <c:ext xmlns:c16="http://schemas.microsoft.com/office/drawing/2014/chart" uri="{C3380CC4-5D6E-409C-BE32-E72D297353CC}">
              <c16:uniqueId val="{00000001-9DEF-41BF-A7DA-D53ED57D8995}"/>
            </c:ext>
          </c:extLst>
        </c:ser>
        <c:dLbls>
          <c:showLegendKey val="0"/>
          <c:showVal val="0"/>
          <c:showCatName val="0"/>
          <c:showSerName val="0"/>
          <c:showPercent val="0"/>
          <c:showBubbleSize val="0"/>
        </c:dLbls>
        <c:smooth val="0"/>
        <c:axId val="148248064"/>
        <c:axId val="148249984"/>
      </c:lineChart>
      <c:catAx>
        <c:axId val="148248064"/>
        <c:scaling>
          <c:orientation val="minMax"/>
        </c:scaling>
        <c:delete val="0"/>
        <c:axPos val="b"/>
        <c:title>
          <c:tx>
            <c:rich>
              <a:bodyPr/>
              <a:lstStyle/>
              <a:p>
                <a:pPr>
                  <a:defRPr sz="1100"/>
                </a:pPr>
                <a:r>
                  <a:rPr lang="en-US" sz="1100"/>
                  <a:t>Hour</a:t>
                </a:r>
                <a:r>
                  <a:rPr lang="en-US" sz="1100" baseline="0"/>
                  <a:t> of Day</a:t>
                </a:r>
                <a:endParaRPr lang="en-US" sz="1100"/>
              </a:p>
            </c:rich>
          </c:tx>
          <c:overlay val="0"/>
        </c:title>
        <c:majorTickMark val="none"/>
        <c:minorTickMark val="none"/>
        <c:tickLblPos val="nextTo"/>
        <c:crossAx val="148249984"/>
        <c:crosses val="autoZero"/>
        <c:auto val="1"/>
        <c:lblAlgn val="ctr"/>
        <c:lblOffset val="100"/>
        <c:noMultiLvlLbl val="0"/>
      </c:catAx>
      <c:valAx>
        <c:axId val="148249984"/>
        <c:scaling>
          <c:orientation val="minMax"/>
        </c:scaling>
        <c:delete val="0"/>
        <c:axPos val="l"/>
        <c:majorGridlines/>
        <c:title>
          <c:tx>
            <c:rich>
              <a:bodyPr/>
              <a:lstStyle/>
              <a:p>
                <a:pPr>
                  <a:defRPr sz="1100"/>
                </a:pPr>
                <a:r>
                  <a:rPr lang="en-US" sz="1100"/>
                  <a:t>Load (kW)</a:t>
                </a:r>
              </a:p>
            </c:rich>
          </c:tx>
          <c:overlay val="0"/>
        </c:title>
        <c:numFmt formatCode="0.0000" sourceLinked="1"/>
        <c:majorTickMark val="out"/>
        <c:minorTickMark val="none"/>
        <c:tickLblPos val="nextTo"/>
        <c:crossAx val="148248064"/>
        <c:crosses val="autoZero"/>
        <c:crossBetween val="between"/>
      </c:valAx>
    </c:plotArea>
    <c:legend>
      <c:legendPos val="r"/>
      <c:layout>
        <c:manualLayout>
          <c:xMode val="edge"/>
          <c:yMode val="edge"/>
          <c:x val="0.14656102827682313"/>
          <c:y val="0.23467099640135911"/>
          <c:w val="0.49103590701430561"/>
          <c:h val="0.22540032887839112"/>
        </c:manualLayout>
      </c:layout>
      <c:overlay val="0"/>
      <c:spPr>
        <a:solidFill>
          <a:schemeClr val="bg1"/>
        </a:solidFill>
        <a:ln>
          <a:solidFill>
            <a:schemeClr val="tx1"/>
          </a:solidFill>
        </a:ln>
      </c:spPr>
      <c:txPr>
        <a:bodyPr/>
        <a:lstStyle/>
        <a:p>
          <a:pPr>
            <a:defRPr sz="1400"/>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277812</xdr:colOff>
      <xdr:row>10</xdr:row>
      <xdr:rowOff>129219</xdr:rowOff>
    </xdr:from>
    <xdr:to>
      <xdr:col>16</xdr:col>
      <xdr:colOff>325438</xdr:colOff>
      <xdr:row>75</xdr:row>
      <xdr:rowOff>137160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77812" y="1958019"/>
          <a:ext cx="9526906" cy="118951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r>
            <a:rPr lang="en-US" sz="1600" b="1" i="0" u="none" strike="noStrike">
              <a:solidFill>
                <a:sysClr val="windowText" lastClr="000000"/>
              </a:solidFill>
              <a:effectLst/>
              <a:latin typeface="Arial Black" panose="020B0A04020102020204" pitchFamily="34" charset="0"/>
              <a:ea typeface="+mn-ea"/>
              <a:cs typeface="Arial" panose="020B0604020202020204" pitchFamily="34" charset="0"/>
            </a:rPr>
            <a:t>Rural African Load Profile</a:t>
          </a:r>
          <a:r>
            <a:rPr lang="en-US" sz="1600" b="1" i="0" u="none" strike="noStrike" baseline="0">
              <a:solidFill>
                <a:sysClr val="windowText" lastClr="000000"/>
              </a:solidFill>
              <a:effectLst/>
              <a:latin typeface="Arial Black" panose="020B0A04020102020204" pitchFamily="34" charset="0"/>
              <a:ea typeface="+mn-ea"/>
              <a:cs typeface="Arial" panose="020B0604020202020204" pitchFamily="34" charset="0"/>
            </a:rPr>
            <a:t> Tool </a:t>
          </a:r>
          <a:endParaRPr lang="en-US" sz="1600" b="1" u="none">
            <a:solidFill>
              <a:sysClr val="windowText" lastClr="000000"/>
            </a:solidFill>
            <a:latin typeface="Arial Black" panose="020B0A04020102020204" pitchFamily="34" charset="0"/>
            <a:cs typeface="Arial" panose="020B0604020202020204" pitchFamily="34" charset="0"/>
          </a:endParaRPr>
        </a:p>
        <a:p>
          <a:endParaRPr lang="en-US" sz="500" b="1" i="0" u="sng"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This tool is designed to inform high level thinking around household and commercial electrical load profiles,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which have a large impact on</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micro-grid design in sub-Saharan Africa. </a:t>
          </a:r>
          <a:r>
            <a:rPr lang="en-US" sz="1100" b="0" i="0" baseline="0">
              <a:solidFill>
                <a:schemeClr val="dk1"/>
              </a:solidFill>
              <a:effectLst/>
              <a:latin typeface="Arial" panose="020B0604020202020204" pitchFamily="34" charset="0"/>
              <a:ea typeface="+mn-ea"/>
              <a:cs typeface="Arial" panose="020B0604020202020204" pitchFamily="34" charset="0"/>
            </a:rPr>
            <a:t>The purpose of this tool is to provide hourly electrical load profiles for various household types (i.e., high income, medium income, and low income households)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and for various commercial entities (i.e., water pumping for irrigation, grain milling, small shops, schools, clinics, and street lighting) that are commonly found in rural Sub-Saharan Africa.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It</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is assumed that there is no variation in the load profiles from weekday/weekend and from season to season.  </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This tool allows the user to input</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the number of households, types of households, and number of commercial entities in order to</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see how the hourly</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electrical load profile changes and to see how the maximum and minimum electrical load changes</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For background</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information on micro-grid tariff considerations in Sub-Saharan Africa,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see the accompanying article available online</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at https://cleanenergysolutions.org/qaf.</a:t>
          </a:r>
        </a:p>
        <a:p>
          <a:endParaRPr lang="en-US" sz="1100" b="0" i="0" u="none" strike="noStrike">
            <a:solidFill>
              <a:schemeClr val="dk1"/>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The sections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below provide instructions on how to use the Rural Africa Load Profile Tool.</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Getting started:</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To get started, navigate to</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the "Inputs&amp;OutputSummary" tab and enter values in the "INPUTS" table highlighted in orange and are located in cells C8 to C11 and C15 to C20. The outputs include the hourly load profile data in table format and a graph showing the hourly load profiles.</a:t>
          </a:r>
        </a:p>
        <a:p>
          <a:pPr marL="0" marR="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Additional information on how to navigate specific sections of the spreadsheet is provided below.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Household Inputs</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Household</a:t>
          </a:r>
        </a:p>
        <a:p>
          <a:endParaRPr lang="en-US" sz="3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Number of household</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High</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Income Households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3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Percentage of households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are considered high income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Medium Income Households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3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Percentage of households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are considered medium income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Low Income Households</a:t>
          </a: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Percentage of households that are considered low income</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     Commercial Inputs</a:t>
          </a: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Water</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Pumping Operations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Number of small</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-scale</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irrigation</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pumps used for agriculture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800" b="0" i="0" u="none" strike="noStrike">
              <a:solidFill>
                <a:sysClr val="windowText" lastClr="000000"/>
              </a:solidFill>
              <a:effectLst/>
              <a:latin typeface="Arial" panose="020B0604020202020204" pitchFamily="34" charset="0"/>
              <a:ea typeface="+mn-ea"/>
              <a:cs typeface="Arial" panose="020B0604020202020204" pitchFamily="34" charset="0"/>
            </a:rPr>
            <a:t>.</a:t>
          </a: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Milling</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Operations</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100" b="0" i="0">
              <a:solidFill>
                <a:schemeClr val="dk1"/>
              </a:solidFill>
              <a:effectLst/>
              <a:latin typeface="Arial" panose="020B0604020202020204" pitchFamily="34" charset="0"/>
              <a:ea typeface="+mn-ea"/>
              <a:cs typeface="Arial" panose="020B0604020202020204" pitchFamily="34" charset="0"/>
            </a:rPr>
            <a:t>The number of small-scale grain</a:t>
          </a:r>
          <a:r>
            <a:rPr lang="en-US" sz="1100" b="0" i="0" baseline="0">
              <a:solidFill>
                <a:schemeClr val="dk1"/>
              </a:solidFill>
              <a:effectLst/>
              <a:latin typeface="Arial" panose="020B0604020202020204" pitchFamily="34" charset="0"/>
              <a:ea typeface="+mn-ea"/>
              <a:cs typeface="Arial" panose="020B0604020202020204" pitchFamily="34" charset="0"/>
            </a:rPr>
            <a:t> milling operations that will be connected to the micro-grid</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Small Shops</a:t>
          </a:r>
          <a:endParaRPr lang="en-US" sz="5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The</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number of small shops that will be connected to the micro-grid.</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of Clinics</a:t>
          </a:r>
          <a:endParaRPr lang="en-US" sz="5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The number of clinics that will</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be connected to the micro-grid</a:t>
          </a:r>
          <a:r>
            <a:rPr lang="en-US" sz="1100" b="0" i="0">
              <a:solidFill>
                <a:schemeClr val="dk1"/>
              </a:solidFill>
              <a:effectLst/>
              <a:latin typeface="Arial" panose="020B0604020202020204" pitchFamily="34" charset="0"/>
              <a:ea typeface="+mn-ea"/>
              <a:cs typeface="Arial" panose="020B0604020202020204" pitchFamily="34" charset="0"/>
            </a:rPr>
            <a:t>.  </a:t>
          </a:r>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8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Number of Street Lights</a:t>
          </a:r>
          <a:endParaRPr lang="en-US" sz="5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The number</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of individual street lights that will be connected to the micro-grid. Each street light is assumed to be 20-watt LED street 	lights</a:t>
          </a:r>
          <a:r>
            <a:rPr lang="en-US" sz="1100" b="0" i="0">
              <a:solidFill>
                <a:schemeClr val="dk1"/>
              </a:solidFill>
              <a:effectLst/>
              <a:latin typeface="Arial" panose="020B0604020202020204" pitchFamily="34" charset="0"/>
              <a:ea typeface="+mn-ea"/>
              <a:cs typeface="Arial" panose="020B0604020202020204" pitchFamily="34" charset="0"/>
            </a:rPr>
            <a:t>.  </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     Outputs</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A summary</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of the</a:t>
          </a: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 outputs</a:t>
          </a: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 are located in the "Inputs&amp;OutputSummary" tab. The hourly electrical load values for the total number of households, total number of commercial entities, and total number of households + commercial entities are given. The daily and annual electricity use is given for each along with the mininum and maximum kW. A graph of the hourly electrical load profiles is also given. </a:t>
          </a: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1" i="0" u="none" strike="noStrike">
              <a:solidFill>
                <a:sysClr val="windowText" lastClr="000000"/>
              </a:solidFill>
              <a:effectLst/>
              <a:latin typeface="Arial" panose="020B0604020202020204" pitchFamily="34" charset="0"/>
              <a:ea typeface="+mn-ea"/>
              <a:cs typeface="Arial" panose="020B0604020202020204" pitchFamily="34" charset="0"/>
            </a:rPr>
            <a:t>     Additional</a:t>
          </a:r>
          <a:r>
            <a:rPr lang="en-US" sz="1100" b="1" i="0" u="none" strike="noStrike" baseline="0">
              <a:solidFill>
                <a:sysClr val="windowText" lastClr="000000"/>
              </a:solidFill>
              <a:effectLst/>
              <a:latin typeface="Arial" panose="020B0604020202020204" pitchFamily="34" charset="0"/>
              <a:ea typeface="+mn-ea"/>
              <a:cs typeface="Arial" panose="020B0604020202020204" pitchFamily="34" charset="0"/>
            </a:rPr>
            <a:t> Tabs</a:t>
          </a:r>
          <a:endParaRPr lang="en-US" sz="1100" b="1" i="0" u="none" strike="noStrike">
            <a:solidFill>
              <a:sysClr val="windowText" lastClr="000000"/>
            </a:solidFill>
            <a:effectLst/>
            <a:latin typeface="Arial" panose="020B0604020202020204" pitchFamily="34" charset="0"/>
            <a:ea typeface="+mn-ea"/>
            <a:cs typeface="Arial" panose="020B0604020202020204" pitchFamily="34" charset="0"/>
          </a:endParaRPr>
        </a:p>
        <a:p>
          <a:endParaRPr lang="en-US" sz="1100" b="0" i="0" u="none" strike="noStrike">
            <a:solidFill>
              <a:sysClr val="windowText" lastClr="000000"/>
            </a:solidFill>
            <a:effectLst/>
            <a:latin typeface="Arial" panose="020B0604020202020204" pitchFamily="34" charset="0"/>
            <a:ea typeface="+mn-ea"/>
            <a:cs typeface="Arial" panose="020B0604020202020204" pitchFamily="34" charset="0"/>
          </a:endParaRPr>
        </a:p>
        <a:p>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The "HouseholdLoadProfiles" tab provides details on how the household electrical load profiles were developed and includes references to papers that were used in developing the profiles. It should be noted that an 80% coincidence factor was applied to the household load profile. </a:t>
          </a:r>
        </a:p>
        <a:p>
          <a:endPar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rPr>
            <a:t>The "CommercialLoadProfiles" tab provides details on how the commercial electrical load profiles were developed and includes references to papers that were used in developing the profiles.</a:t>
          </a:r>
        </a:p>
        <a:p>
          <a:pPr marL="0" indent="0"/>
          <a:endParaRPr lang="en-US" sz="11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twoCellAnchor>
    <xdr:from>
      <xdr:col>0</xdr:col>
      <xdr:colOff>269876</xdr:colOff>
      <xdr:row>1</xdr:row>
      <xdr:rowOff>9203</xdr:rowOff>
    </xdr:from>
    <xdr:to>
      <xdr:col>16</xdr:col>
      <xdr:colOff>330842</xdr:colOff>
      <xdr:row>9</xdr:row>
      <xdr:rowOff>111125</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231776" y="199703"/>
          <a:ext cx="9185916" cy="1625922"/>
          <a:chOff x="381001" y="769938"/>
          <a:chExt cx="9562154" cy="1563687"/>
        </a:xfrm>
      </xdr:grpSpPr>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3725" b="3250"/>
          <a:stretch/>
        </xdr:blipFill>
        <xdr:spPr>
          <a:xfrm>
            <a:off x="381001" y="769938"/>
            <a:ext cx="9562154" cy="1563687"/>
          </a:xfrm>
          <a:prstGeom prst="rect">
            <a:avLst/>
          </a:prstGeom>
        </xdr:spPr>
      </xdr:pic>
      <xdr:pic>
        <xdr:nvPicPr>
          <xdr:cNvPr id="6" name="Picture 5" descr="NREL Logo2010white.eps">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511177" y="886778"/>
            <a:ext cx="1489073" cy="389356"/>
          </a:xfrm>
          <a:prstGeom prst="rect">
            <a:avLst/>
          </a:prstGeom>
        </xdr:spPr>
      </xdr:pic>
    </xdr:grpSp>
    <xdr:clientData/>
  </xdr:twoCellAnchor>
  <xdr:twoCellAnchor>
    <xdr:from>
      <xdr:col>0</xdr:col>
      <xdr:colOff>234315</xdr:colOff>
      <xdr:row>77</xdr:row>
      <xdr:rowOff>161924</xdr:rowOff>
    </xdr:from>
    <xdr:to>
      <xdr:col>16</xdr:col>
      <xdr:colOff>312232</xdr:colOff>
      <xdr:row>91</xdr:row>
      <xdr:rowOff>30479</xdr:rowOff>
    </xdr:to>
    <xdr:sp macro="" textlink="">
      <xdr:nvSpPr>
        <xdr:cNvPr id="7" name="Content Placeholder 1">
          <a:extLst>
            <a:ext uri="{FF2B5EF4-FFF2-40B4-BE49-F238E27FC236}">
              <a16:creationId xmlns:a16="http://schemas.microsoft.com/office/drawing/2014/main" id="{00000000-0008-0000-0000-000007000000}"/>
            </a:ext>
          </a:extLst>
        </xdr:cNvPr>
        <xdr:cNvSpPr>
          <a:spLocks noGrp="1"/>
        </xdr:cNvSpPr>
      </xdr:nvSpPr>
      <xdr:spPr>
        <a:xfrm>
          <a:off x="234315" y="14243684"/>
          <a:ext cx="9458137" cy="2428875"/>
        </a:xfrm>
        <a:prstGeom prst="rect">
          <a:avLst/>
        </a:prstGeom>
      </xdr:spPr>
      <xdr:txBody>
        <a:bodyPr vert="horz" wrap="square" lIns="91440" tIns="45720" rIns="91440" bIns="45720" rtlCol="0">
          <a:normAutofit fontScale="47500" lnSpcReduction="20000"/>
        </a:bodyPr>
        <a:lstStyle>
          <a:lvl1pPr marL="342900" indent="-342900" algn="l" defTabSz="914400" rtl="0" eaLnBrk="1" latinLnBrk="0" hangingPunct="1">
            <a:spcBef>
              <a:spcPct val="20000"/>
            </a:spcBef>
            <a:buFont typeface="Arial" pitchFamily="34" charset="0"/>
            <a:buChar char="•"/>
            <a:defRPr sz="2800" b="0" kern="1200">
              <a:solidFill>
                <a:srgbClr val="353A3E"/>
              </a:solidFill>
              <a:latin typeface="Calibri"/>
              <a:ea typeface="+mn-ea"/>
              <a:cs typeface="Calibri"/>
            </a:defRPr>
          </a:lvl1pPr>
          <a:lvl2pPr marL="742950" indent="-285750" algn="l" defTabSz="914400" rtl="0" eaLnBrk="1" latinLnBrk="0" hangingPunct="1">
            <a:spcBef>
              <a:spcPct val="20000"/>
            </a:spcBef>
            <a:buSzPct val="80000"/>
            <a:buFont typeface="Courier New" pitchFamily="49" charset="0"/>
            <a:buChar char="o"/>
            <a:defRPr sz="2600" kern="1200">
              <a:solidFill>
                <a:srgbClr val="353A3E"/>
              </a:solidFill>
              <a:latin typeface="Calibri"/>
              <a:ea typeface="+mn-ea"/>
              <a:cs typeface="Calibri"/>
            </a:defRPr>
          </a:lvl2pPr>
          <a:lvl3pPr marL="1143000" indent="-228600" algn="l" defTabSz="914400" rtl="0" eaLnBrk="1" latinLnBrk="0" hangingPunct="1">
            <a:spcBef>
              <a:spcPct val="20000"/>
            </a:spcBef>
            <a:buFont typeface="Calibri" pitchFamily="34" charset="0"/>
            <a:buChar char="–"/>
            <a:defRPr sz="2400" kern="1200">
              <a:solidFill>
                <a:srgbClr val="353A3E"/>
              </a:solidFill>
              <a:latin typeface="Calibri"/>
              <a:ea typeface="+mn-ea"/>
              <a:cs typeface="Calibri"/>
            </a:defRPr>
          </a:lvl3pPr>
          <a:lvl4pPr marL="1600200" indent="-228600" algn="l" defTabSz="914400" rtl="0" eaLnBrk="1" latinLnBrk="0" hangingPunct="1">
            <a:spcBef>
              <a:spcPct val="20000"/>
            </a:spcBef>
            <a:buFont typeface="Wingdings" pitchFamily="2" charset="2"/>
            <a:buChar char="§"/>
            <a:defRPr sz="2000" kern="1200">
              <a:solidFill>
                <a:srgbClr val="353A3E"/>
              </a:solidFill>
              <a:latin typeface="Calibri"/>
              <a:ea typeface="+mn-ea"/>
              <a:cs typeface="Calibri"/>
            </a:defRPr>
          </a:lvl4pPr>
          <a:lvl5pPr marL="2057400" indent="-228600" algn="l" defTabSz="914400" rtl="0" eaLnBrk="1" latinLnBrk="0" hangingPunct="1">
            <a:spcBef>
              <a:spcPct val="20000"/>
            </a:spcBef>
            <a:buFont typeface="Arial" pitchFamily="34" charset="0"/>
            <a:buChar char="»"/>
            <a:defRPr sz="2000" kern="1200">
              <a:solidFill>
                <a:srgbClr val="353A3E"/>
              </a:solidFill>
              <a:latin typeface="Calibri"/>
              <a:ea typeface="+mn-ea"/>
              <a:cs typeface="Calibri"/>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0" indent="0">
            <a:buNone/>
          </a:pPr>
          <a:r>
            <a:rPr lang="en-US" sz="2700" b="1"/>
            <a:t>Disclaimer</a:t>
          </a:r>
        </a:p>
        <a:p>
          <a:pPr marL="0" indent="0">
            <a:buNone/>
          </a:pPr>
          <a:endParaRPr lang="en-US" sz="2500" b="1"/>
        </a:p>
        <a:p>
          <a:pPr marL="0" marR="0" indent="0" algn="l" defTabSz="914400" rtl="0" eaLnBrk="1" fontAlgn="auto" latinLnBrk="0" hangingPunct="1">
            <a:lnSpc>
              <a:spcPct val="100000"/>
            </a:lnSpc>
            <a:spcBef>
              <a:spcPct val="20000"/>
            </a:spcBef>
            <a:spcAft>
              <a:spcPts val="0"/>
            </a:spcAft>
            <a:buClrTx/>
            <a:buSzTx/>
            <a:buFont typeface="Arial" pitchFamily="34" charset="0"/>
            <a:buNone/>
            <a:tabLst/>
            <a:defRPr/>
          </a:pPr>
          <a:r>
            <a:rPr lang="en-US" sz="2500" b="0" i="0" kern="1200">
              <a:solidFill>
                <a:srgbClr val="353A3E"/>
              </a:solidFill>
              <a:effectLst/>
              <a:latin typeface="+mn-lt"/>
              <a:ea typeface="+mn-ea"/>
              <a:cs typeface="Calibri"/>
            </a:rPr>
            <a:t>This tool was developed at </a:t>
          </a:r>
          <a:r>
            <a:rPr lang="en-US" sz="2500" b="0" i="0" kern="1200" baseline="0">
              <a:solidFill>
                <a:srgbClr val="353A3E"/>
              </a:solidFill>
              <a:effectLst/>
              <a:latin typeface="+mn-lt"/>
              <a:ea typeface="+mn-ea"/>
              <a:cs typeface="Calibri"/>
            </a:rPr>
            <a:t>NREL with support from Power Africa partners.</a:t>
          </a:r>
        </a:p>
        <a:p>
          <a:pPr marL="0" marR="0" indent="0" algn="l" defTabSz="914400" rtl="0" eaLnBrk="1" fontAlgn="auto" latinLnBrk="0" hangingPunct="1">
            <a:lnSpc>
              <a:spcPct val="100000"/>
            </a:lnSpc>
            <a:spcBef>
              <a:spcPct val="20000"/>
            </a:spcBef>
            <a:spcAft>
              <a:spcPts val="0"/>
            </a:spcAft>
            <a:buClrTx/>
            <a:buSzTx/>
            <a:buFont typeface="Arial" pitchFamily="34" charset="0"/>
            <a:buNone/>
            <a:tabLst/>
            <a:defRPr/>
          </a:pPr>
          <a:endParaRPr lang="en-US" sz="1100" b="0" i="0" kern="1200" baseline="0">
            <a:solidFill>
              <a:srgbClr val="353A3E"/>
            </a:solidFill>
            <a:effectLst/>
            <a:latin typeface="+mn-lt"/>
            <a:ea typeface="+mn-ea"/>
            <a:cs typeface="Calibri"/>
          </a:endParaRPr>
        </a:p>
        <a:p>
          <a:pPr marL="0" marR="0" indent="0" algn="l" defTabSz="914400" rtl="0" eaLnBrk="1" fontAlgn="auto" latinLnBrk="0" hangingPunct="1">
            <a:lnSpc>
              <a:spcPct val="100000"/>
            </a:lnSpc>
            <a:spcBef>
              <a:spcPct val="20000"/>
            </a:spcBef>
            <a:spcAft>
              <a:spcPts val="0"/>
            </a:spcAft>
            <a:buClrTx/>
            <a:buSzTx/>
            <a:buFont typeface="Arial" pitchFamily="34" charset="0"/>
            <a:buNone/>
            <a:tabLst/>
            <a:defRPr/>
          </a:pPr>
          <a:r>
            <a:rPr lang="en-US" sz="2500" b="0" i="0" kern="1200" baseline="0">
              <a:solidFill>
                <a:srgbClr val="353A3E"/>
              </a:solidFill>
              <a:effectLst/>
              <a:latin typeface="+mn-lt"/>
              <a:ea typeface="+mn-ea"/>
              <a:cs typeface="Calibri"/>
            </a:rPr>
            <a:t>This tool is a high level initial estimate of household and commercial electrical load profiles and more due diligence should be done before developing a micro-grid system as conditions will vary by country, load types, income levels, and other factors that are specific to individual sites.</a:t>
          </a:r>
        </a:p>
        <a:p>
          <a:pPr marL="0" indent="0">
            <a:buNone/>
          </a:pPr>
          <a:endParaRPr lang="en-US" sz="1100" b="0" i="0" kern="1200" baseline="0">
            <a:solidFill>
              <a:srgbClr val="353A3E"/>
            </a:solidFill>
            <a:effectLst/>
            <a:latin typeface="+mn-lt"/>
            <a:ea typeface="+mn-ea"/>
            <a:cs typeface="Calibri"/>
          </a:endParaRPr>
        </a:p>
        <a:p>
          <a:pPr marL="0" indent="0">
            <a:buNone/>
          </a:pPr>
          <a:endParaRPr lang="en-US" sz="1100" b="0" i="0" kern="1200" baseline="0">
            <a:solidFill>
              <a:srgbClr val="353A3E"/>
            </a:solidFill>
            <a:effectLst/>
            <a:latin typeface="Calibri"/>
            <a:ea typeface="+mn-ea"/>
            <a:cs typeface="Calibri"/>
          </a:endParaRPr>
        </a:p>
        <a:p>
          <a:pPr marL="0" indent="0">
            <a:buNone/>
          </a:pPr>
          <a:r>
            <a:rPr lang="en-US" sz="2500" b="0" i="0" kern="1200" baseline="0">
              <a:solidFill>
                <a:srgbClr val="353A3E"/>
              </a:solidFill>
              <a:effectLst/>
              <a:latin typeface="Calibri"/>
              <a:ea typeface="+mn-ea"/>
              <a:cs typeface="Calibri"/>
            </a:rPr>
            <a:t>Results presented here should be treated as the initial step in understanding household and commercial load profiles in rural Africa. The results are not intended to be the sole basis of decisions. </a:t>
          </a:r>
        </a:p>
        <a:p>
          <a:pPr marL="0" indent="0">
            <a:buNone/>
          </a:pPr>
          <a:endParaRPr lang="en-US" sz="1100" b="0" i="0" kern="1200" baseline="0">
            <a:solidFill>
              <a:srgbClr val="353A3E"/>
            </a:solidFill>
            <a:effectLst/>
            <a:latin typeface="Calibri"/>
            <a:ea typeface="+mn-ea"/>
          </a:endParaRPr>
        </a:p>
        <a:p>
          <a:pPr marL="0" indent="0">
            <a:buNone/>
          </a:pPr>
          <a:r>
            <a:rPr lang="en-US" sz="2500" b="0" i="0" kern="1200" baseline="0">
              <a:solidFill>
                <a:srgbClr val="353A3E"/>
              </a:solidFill>
              <a:effectLst/>
              <a:latin typeface="Calibri"/>
              <a:ea typeface="+mn-ea"/>
            </a:rPr>
            <a:t>It should be noted that this electrical load profile spreadsheet does not link to the accompanying spreadsheet </a:t>
          </a:r>
          <a:r>
            <a:rPr lang="en-US" sz="2500" b="0" i="0" kern="1200" baseline="0">
              <a:solidFill>
                <a:srgbClr val="353A3E"/>
              </a:solidFill>
              <a:effectLst/>
              <a:latin typeface="Calibri"/>
              <a:ea typeface="+mn-ea"/>
              <a:cs typeface="Calibri"/>
            </a:rPr>
            <a:t>named </a:t>
          </a:r>
          <a:r>
            <a:rPr lang="en-US" sz="2500" b="0" i="1" kern="1200" baseline="0">
              <a:solidFill>
                <a:srgbClr val="353A3E"/>
              </a:solidFill>
              <a:effectLst/>
              <a:latin typeface="Calibri"/>
              <a:ea typeface="+mn-ea"/>
              <a:cs typeface="Calibri"/>
            </a:rPr>
            <a:t>Microgrid ReOpt LCOE Results Explorer.</a:t>
          </a:r>
        </a:p>
        <a:p>
          <a:pPr marL="0" indent="0">
            <a:buNone/>
          </a:pPr>
          <a:endParaRPr lang="en-US" sz="1100" b="0" i="0" kern="1200" baseline="0">
            <a:solidFill>
              <a:srgbClr val="353A3E"/>
            </a:solidFill>
            <a:effectLst/>
            <a:latin typeface="Calibri"/>
            <a:ea typeface="+mn-ea"/>
          </a:endParaRPr>
        </a:p>
        <a:p>
          <a:pPr marL="0" indent="0">
            <a:buNone/>
          </a:pPr>
          <a:r>
            <a:rPr lang="en-US" sz="2500"/>
            <a:t>The data, results, and interpretations presented in this document have not been reviewed by technical experts outside of</a:t>
          </a:r>
          <a:r>
            <a:rPr lang="en-US" sz="2500" baseline="0"/>
            <a:t> </a:t>
          </a:r>
          <a:r>
            <a:rPr lang="en-US" sz="2500"/>
            <a:t>NREL.</a:t>
          </a:r>
          <a:endParaRPr lang="en-US" baseline="0"/>
        </a:p>
        <a:p>
          <a:pPr marL="342900" marR="0" indent="-342900" algn="l" defTabSz="914400" rtl="0" eaLnBrk="1" fontAlgn="auto" latinLnBrk="0" hangingPunct="1">
            <a:lnSpc>
              <a:spcPct val="100000"/>
            </a:lnSpc>
            <a:spcBef>
              <a:spcPct val="20000"/>
            </a:spcBef>
            <a:spcAft>
              <a:spcPts val="0"/>
            </a:spcAft>
            <a:buClrTx/>
            <a:buSzTx/>
            <a:buFont typeface="Arial" pitchFamily="34" charset="0"/>
            <a:buChar char="•"/>
            <a:tabLst/>
            <a:defRPr/>
          </a:pP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313763</xdr:colOff>
      <xdr:row>4</xdr:row>
      <xdr:rowOff>49305</xdr:rowOff>
    </xdr:from>
    <xdr:to>
      <xdr:col>24</xdr:col>
      <xdr:colOff>502024</xdr:colOff>
      <xdr:row>33</xdr:row>
      <xdr:rowOff>161365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412375</xdr:colOff>
      <xdr:row>3</xdr:row>
      <xdr:rowOff>4484</xdr:rowOff>
    </xdr:from>
    <xdr:to>
      <xdr:col>11</xdr:col>
      <xdr:colOff>475129</xdr:colOff>
      <xdr:row>30</xdr:row>
      <xdr:rowOff>17929</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161365</xdr:colOff>
      <xdr:row>2</xdr:row>
      <xdr:rowOff>268941</xdr:rowOff>
    </xdr:from>
    <xdr:to>
      <xdr:col>9</xdr:col>
      <xdr:colOff>510989</xdr:colOff>
      <xdr:row>30</xdr:row>
      <xdr:rowOff>17930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0</xdr:row>
      <xdr:rowOff>0</xdr:rowOff>
    </xdr:from>
    <xdr:to>
      <xdr:col>15</xdr:col>
      <xdr:colOff>896471</xdr:colOff>
      <xdr:row>21</xdr:row>
      <xdr:rowOff>125508</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
  <sheetViews>
    <sheetView showRowColHeaders="0" tabSelected="1" topLeftCell="A8" zoomScaleNormal="100" workbookViewId="0">
      <selection activeCell="S22" sqref="S22"/>
    </sheetView>
  </sheetViews>
  <sheetFormatPr defaultColWidth="8.85546875" defaultRowHeight="15" x14ac:dyDescent="0.25"/>
  <cols>
    <col min="1" max="1" width="3.42578125" style="134" customWidth="1"/>
    <col min="2" max="16384" width="8.85546875" style="134"/>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74B05"/>
  </sheetPr>
  <dimension ref="A1:Z36"/>
  <sheetViews>
    <sheetView showRowColHeaders="0" zoomScale="85" zoomScaleNormal="85" workbookViewId="0"/>
  </sheetViews>
  <sheetFormatPr defaultColWidth="8.85546875" defaultRowHeight="15" x14ac:dyDescent="0.25"/>
  <cols>
    <col min="1" max="1" width="1.7109375" style="16" customWidth="1"/>
    <col min="2" max="2" width="43.28515625" style="16" customWidth="1"/>
    <col min="3" max="3" width="12.7109375" style="16" customWidth="1"/>
    <col min="4" max="4" width="3.85546875" style="16" customWidth="1"/>
    <col min="5" max="5" width="1.85546875" style="16" customWidth="1"/>
    <col min="6" max="6" width="3.85546875" style="16" customWidth="1"/>
    <col min="7" max="7" width="15.140625" style="16" customWidth="1"/>
    <col min="8" max="10" width="12.85546875" style="16" customWidth="1"/>
    <col min="11" max="25" width="8.85546875" style="16"/>
    <col min="26" max="26" width="1.7109375" style="16" customWidth="1"/>
    <col min="27" max="16384" width="8.85546875" style="16"/>
  </cols>
  <sheetData>
    <row r="1" spans="1:26" ht="31.15" x14ac:dyDescent="0.6">
      <c r="B1" s="59" t="s">
        <v>65</v>
      </c>
    </row>
    <row r="2" spans="1:26" ht="15" customHeight="1" x14ac:dyDescent="0.6">
      <c r="B2" s="59"/>
    </row>
    <row r="3" spans="1:26" ht="8.4499999999999993" customHeight="1" x14ac:dyDescent="0.6">
      <c r="A3" s="166"/>
      <c r="B3" s="171"/>
      <c r="C3" s="166"/>
      <c r="D3" s="166"/>
      <c r="E3" s="166"/>
      <c r="F3" s="166"/>
      <c r="G3" s="166"/>
      <c r="H3" s="166"/>
      <c r="I3" s="166"/>
      <c r="J3" s="166"/>
      <c r="K3" s="166"/>
      <c r="L3" s="166"/>
      <c r="M3" s="166"/>
      <c r="N3" s="166"/>
      <c r="O3" s="166"/>
      <c r="P3" s="166"/>
      <c r="Q3" s="166"/>
      <c r="R3" s="166"/>
      <c r="S3" s="166"/>
      <c r="T3" s="166"/>
      <c r="U3" s="166"/>
      <c r="V3" s="166"/>
      <c r="W3" s="166"/>
      <c r="X3" s="166"/>
      <c r="Y3" s="166"/>
      <c r="Z3" s="166"/>
    </row>
    <row r="4" spans="1:26" ht="31.15" x14ac:dyDescent="0.6">
      <c r="A4" s="166"/>
      <c r="B4" s="168" t="s">
        <v>90</v>
      </c>
      <c r="C4" s="169"/>
      <c r="D4" s="169"/>
      <c r="E4" s="166"/>
      <c r="F4" s="168" t="s">
        <v>119</v>
      </c>
      <c r="G4" s="169"/>
      <c r="H4" s="169"/>
      <c r="I4" s="169"/>
      <c r="J4" s="169"/>
      <c r="K4" s="169"/>
      <c r="L4" s="169"/>
      <c r="M4" s="169"/>
      <c r="N4" s="169"/>
      <c r="O4" s="169"/>
      <c r="P4" s="169"/>
      <c r="Q4" s="169"/>
      <c r="R4" s="169"/>
      <c r="S4" s="169"/>
      <c r="T4" s="169"/>
      <c r="U4" s="169"/>
      <c r="V4" s="169"/>
      <c r="W4" s="169"/>
      <c r="X4" s="169"/>
      <c r="Y4" s="169"/>
      <c r="Z4" s="166"/>
    </row>
    <row r="5" spans="1:26" ht="18.600000000000001" thickBot="1" x14ac:dyDescent="0.4">
      <c r="A5" s="166"/>
      <c r="B5" s="169"/>
      <c r="C5" s="170"/>
      <c r="D5" s="169"/>
      <c r="E5" s="166"/>
      <c r="F5" s="169"/>
      <c r="G5" s="169"/>
      <c r="H5" s="173" t="s">
        <v>134</v>
      </c>
      <c r="I5" s="169"/>
      <c r="J5" s="169"/>
      <c r="K5" s="169"/>
      <c r="L5" s="169"/>
      <c r="M5" s="169"/>
      <c r="N5" s="169"/>
      <c r="O5" s="169"/>
      <c r="P5" s="169"/>
      <c r="Q5" s="169"/>
      <c r="R5" s="169"/>
      <c r="S5" s="169"/>
      <c r="T5" s="169"/>
      <c r="U5" s="169"/>
      <c r="V5" s="169"/>
      <c r="W5" s="169"/>
      <c r="X5" s="169"/>
      <c r="Y5" s="169"/>
      <c r="Z5" s="166"/>
    </row>
    <row r="6" spans="1:26" s="18" customFormat="1" ht="58.15" thickBot="1" x14ac:dyDescent="0.4">
      <c r="A6" s="167"/>
      <c r="B6" s="174" t="s">
        <v>123</v>
      </c>
      <c r="C6" s="170"/>
      <c r="D6" s="170"/>
      <c r="E6" s="167"/>
      <c r="F6" s="170"/>
      <c r="G6" s="172"/>
      <c r="H6" s="94" t="s">
        <v>86</v>
      </c>
      <c r="I6" s="99" t="s">
        <v>87</v>
      </c>
      <c r="J6" s="100" t="s">
        <v>88</v>
      </c>
      <c r="K6" s="170"/>
      <c r="L6" s="170"/>
      <c r="M6" s="170"/>
      <c r="N6" s="170"/>
      <c r="O6" s="170"/>
      <c r="P6" s="170"/>
      <c r="Q6" s="170"/>
      <c r="R6" s="170"/>
      <c r="S6" s="170"/>
      <c r="T6" s="170"/>
      <c r="U6" s="170"/>
      <c r="V6" s="170"/>
      <c r="W6" s="170"/>
      <c r="X6" s="170"/>
      <c r="Y6" s="170"/>
      <c r="Z6" s="167"/>
    </row>
    <row r="7" spans="1:26" thickBot="1" x14ac:dyDescent="0.35">
      <c r="A7" s="166"/>
      <c r="B7" s="122" t="s">
        <v>91</v>
      </c>
      <c r="C7" s="123"/>
      <c r="D7" s="169"/>
      <c r="E7" s="166"/>
      <c r="F7" s="169"/>
      <c r="G7" s="101">
        <v>0</v>
      </c>
      <c r="H7" s="103">
        <f>($C$8*CoincidenceFactor_HouseholdLoad!P30)/1000</f>
        <v>0.86243458124999994</v>
      </c>
      <c r="I7" s="103">
        <f>(CommercialLoadProfiles!C5)/1000</f>
        <v>0.32679999999999998</v>
      </c>
      <c r="J7" s="104">
        <f t="shared" ref="J7:J30" si="0">SUM(H7,I7)</f>
        <v>1.18923458125</v>
      </c>
      <c r="K7" s="169"/>
      <c r="L7" s="169"/>
      <c r="M7" s="169"/>
      <c r="N7" s="169"/>
      <c r="O7" s="169"/>
      <c r="P7" s="169"/>
      <c r="Q7" s="169"/>
      <c r="R7" s="169"/>
      <c r="S7" s="169"/>
      <c r="T7" s="169"/>
      <c r="U7" s="169"/>
      <c r="V7" s="169"/>
      <c r="W7" s="169"/>
      <c r="X7" s="169"/>
      <c r="Y7" s="169"/>
      <c r="Z7" s="166"/>
    </row>
    <row r="8" spans="1:26" ht="14.45" x14ac:dyDescent="0.3">
      <c r="A8" s="166"/>
      <c r="B8" s="115" t="s">
        <v>31</v>
      </c>
      <c r="C8" s="130">
        <v>100</v>
      </c>
      <c r="D8" s="169"/>
      <c r="E8" s="166"/>
      <c r="F8" s="169"/>
      <c r="G8" s="102">
        <v>4.1666666666666699E-2</v>
      </c>
      <c r="H8" s="98">
        <f>($C$8*CoincidenceFactor_HouseholdLoad!P31)/1000</f>
        <v>0.60610021724999985</v>
      </c>
      <c r="I8" s="98">
        <f>(CommercialLoadProfiles!C6)/1000</f>
        <v>0.32679999999999998</v>
      </c>
      <c r="J8" s="105">
        <f t="shared" si="0"/>
        <v>0.93290021724999983</v>
      </c>
      <c r="K8" s="169"/>
      <c r="L8" s="169"/>
      <c r="M8" s="169"/>
      <c r="N8" s="169"/>
      <c r="O8" s="169"/>
      <c r="P8" s="169"/>
      <c r="Q8" s="169"/>
      <c r="R8" s="169"/>
      <c r="S8" s="169"/>
      <c r="T8" s="169"/>
      <c r="U8" s="169"/>
      <c r="V8" s="169"/>
      <c r="W8" s="169"/>
      <c r="X8" s="169"/>
      <c r="Y8" s="169"/>
      <c r="Z8" s="166"/>
    </row>
    <row r="9" spans="1:26" ht="14.45" x14ac:dyDescent="0.3">
      <c r="A9" s="166"/>
      <c r="B9" s="116" t="s">
        <v>80</v>
      </c>
      <c r="C9" s="131">
        <v>0.33329999999999999</v>
      </c>
      <c r="D9" s="169"/>
      <c r="E9" s="166"/>
      <c r="F9" s="169"/>
      <c r="G9" s="102">
        <v>8.3333333333333301E-2</v>
      </c>
      <c r="H9" s="98">
        <f>($C$8*CoincidenceFactor_HouseholdLoad!P32)/1000</f>
        <v>0.46486267575000001</v>
      </c>
      <c r="I9" s="98">
        <f>(CommercialLoadProfiles!C7)/1000</f>
        <v>0.32679999999999998</v>
      </c>
      <c r="J9" s="105">
        <f t="shared" si="0"/>
        <v>0.79166267575000004</v>
      </c>
      <c r="K9" s="169"/>
      <c r="L9" s="169"/>
      <c r="M9" s="169"/>
      <c r="N9" s="169"/>
      <c r="O9" s="169"/>
      <c r="P9" s="169"/>
      <c r="Q9" s="169"/>
      <c r="R9" s="169"/>
      <c r="S9" s="169"/>
      <c r="T9" s="169"/>
      <c r="U9" s="169"/>
      <c r="V9" s="169"/>
      <c r="W9" s="169"/>
      <c r="X9" s="169"/>
      <c r="Y9" s="169"/>
      <c r="Z9" s="166"/>
    </row>
    <row r="10" spans="1:26" ht="14.45" x14ac:dyDescent="0.3">
      <c r="A10" s="166"/>
      <c r="B10" s="116" t="s">
        <v>81</v>
      </c>
      <c r="C10" s="131">
        <v>0.33329999999999999</v>
      </c>
      <c r="D10" s="169"/>
      <c r="E10" s="166"/>
      <c r="F10" s="169"/>
      <c r="G10" s="102">
        <v>0.125</v>
      </c>
      <c r="H10" s="98">
        <f>($C$8*CoincidenceFactor_HouseholdLoad!P33)/1000</f>
        <v>0.39860346900000004</v>
      </c>
      <c r="I10" s="98">
        <f>(CommercialLoadProfiles!C8)/1000</f>
        <v>0.32679999999999998</v>
      </c>
      <c r="J10" s="105">
        <f t="shared" si="0"/>
        <v>0.72540346899999997</v>
      </c>
      <c r="K10" s="169"/>
      <c r="L10" s="169"/>
      <c r="M10" s="169"/>
      <c r="N10" s="169"/>
      <c r="O10" s="169"/>
      <c r="P10" s="169"/>
      <c r="Q10" s="169"/>
      <c r="R10" s="169"/>
      <c r="S10" s="169"/>
      <c r="T10" s="169"/>
      <c r="U10" s="169"/>
      <c r="V10" s="169"/>
      <c r="W10" s="169"/>
      <c r="X10" s="169"/>
      <c r="Y10" s="169"/>
      <c r="Z10" s="166"/>
    </row>
    <row r="11" spans="1:26" thickBot="1" x14ac:dyDescent="0.35">
      <c r="A11" s="166"/>
      <c r="B11" s="136" t="s">
        <v>82</v>
      </c>
      <c r="C11" s="135">
        <v>0.33329999999999999</v>
      </c>
      <c r="D11" s="169"/>
      <c r="E11" s="166"/>
      <c r="F11" s="169"/>
      <c r="G11" s="102">
        <v>0.16666666666666699</v>
      </c>
      <c r="H11" s="98">
        <f>($C$8*CoincidenceFactor_HouseholdLoad!P34)/1000</f>
        <v>0.40046411625000006</v>
      </c>
      <c r="I11" s="98">
        <f>(CommercialLoadProfiles!C9)/1000</f>
        <v>0.32679999999999998</v>
      </c>
      <c r="J11" s="105">
        <f t="shared" si="0"/>
        <v>0.72726411624999998</v>
      </c>
      <c r="K11" s="169"/>
      <c r="L11" s="169"/>
      <c r="M11" s="169"/>
      <c r="N11" s="169"/>
      <c r="O11" s="169"/>
      <c r="P11" s="169"/>
      <c r="Q11" s="169"/>
      <c r="R11" s="169"/>
      <c r="S11" s="169"/>
      <c r="T11" s="169"/>
      <c r="U11" s="169"/>
      <c r="V11" s="169"/>
      <c r="W11" s="169"/>
      <c r="X11" s="169"/>
      <c r="Y11" s="169"/>
      <c r="Z11" s="166"/>
    </row>
    <row r="12" spans="1:26" thickBot="1" x14ac:dyDescent="0.35">
      <c r="A12" s="166"/>
      <c r="B12" s="175" t="s">
        <v>94</v>
      </c>
      <c r="C12" s="176">
        <f>SUM(C9:C11)</f>
        <v>0.99990000000000001</v>
      </c>
      <c r="D12" s="169"/>
      <c r="E12" s="166"/>
      <c r="F12" s="169"/>
      <c r="G12" s="102">
        <v>0.20833333333333301</v>
      </c>
      <c r="H12" s="98">
        <f>($C$8*CoincidenceFactor_HouseholdLoad!P35)/1000</f>
        <v>0.43433156249999993</v>
      </c>
      <c r="I12" s="98">
        <f>(CommercialLoadProfiles!C10)/1000</f>
        <v>0.32679999999999998</v>
      </c>
      <c r="J12" s="105">
        <f t="shared" si="0"/>
        <v>0.76113156249999991</v>
      </c>
      <c r="K12" s="169"/>
      <c r="L12" s="169"/>
      <c r="M12" s="169"/>
      <c r="N12" s="169"/>
      <c r="O12" s="169"/>
      <c r="P12" s="169"/>
      <c r="Q12" s="169"/>
      <c r="R12" s="169"/>
      <c r="S12" s="169"/>
      <c r="T12" s="169"/>
      <c r="U12" s="169"/>
      <c r="V12" s="169"/>
      <c r="W12" s="169"/>
      <c r="X12" s="169"/>
      <c r="Y12" s="169"/>
      <c r="Z12" s="166"/>
    </row>
    <row r="13" spans="1:26" thickBot="1" x14ac:dyDescent="0.35">
      <c r="A13" s="166"/>
      <c r="B13" s="177" t="str">
        <f>IF(C12&lt;99.9%,"The % households do NOT equal 100%, CHECK PERCENTAGES",IF(C12&gt;99.9%,IF(C12&lt;=100%,"The % households equals 100%","The % households do NOT equal 100%, CHECK PERCENTAGES")))</f>
        <v>The % households equals 100%</v>
      </c>
      <c r="C13" s="178"/>
      <c r="D13" s="169"/>
      <c r="E13" s="166"/>
      <c r="F13" s="169"/>
      <c r="G13" s="102">
        <v>0.25</v>
      </c>
      <c r="H13" s="98">
        <f>($C$8*CoincidenceFactor_HouseholdLoad!P36)/1000</f>
        <v>0.52537745700000005</v>
      </c>
      <c r="I13" s="98">
        <f>(CommercialLoadProfiles!C11)/1000</f>
        <v>0.51479999999999992</v>
      </c>
      <c r="J13" s="105">
        <f t="shared" si="0"/>
        <v>1.040177457</v>
      </c>
      <c r="K13" s="169"/>
      <c r="L13" s="169"/>
      <c r="M13" s="169"/>
      <c r="N13" s="169"/>
      <c r="O13" s="169"/>
      <c r="P13" s="169"/>
      <c r="Q13" s="169"/>
      <c r="R13" s="169"/>
      <c r="S13" s="169"/>
      <c r="T13" s="169"/>
      <c r="U13" s="169"/>
      <c r="V13" s="169"/>
      <c r="W13" s="169"/>
      <c r="X13" s="169"/>
      <c r="Y13" s="169"/>
      <c r="Z13" s="166"/>
    </row>
    <row r="14" spans="1:26" thickBot="1" x14ac:dyDescent="0.35">
      <c r="A14" s="166"/>
      <c r="B14" s="122" t="s">
        <v>92</v>
      </c>
      <c r="C14" s="123"/>
      <c r="D14" s="169"/>
      <c r="E14" s="166"/>
      <c r="F14" s="169"/>
      <c r="G14" s="102">
        <v>0.29166666666666702</v>
      </c>
      <c r="H14" s="98">
        <f>($C$8*CoincidenceFactor_HouseholdLoad!P37)/1000</f>
        <v>0.67347847875000011</v>
      </c>
      <c r="I14" s="98">
        <f>(CommercialLoadProfiles!C12)/1000</f>
        <v>0.8355999999999999</v>
      </c>
      <c r="J14" s="105">
        <f t="shared" si="0"/>
        <v>1.50907847875</v>
      </c>
      <c r="K14" s="169"/>
      <c r="L14" s="169"/>
      <c r="M14" s="169"/>
      <c r="N14" s="169"/>
      <c r="O14" s="169"/>
      <c r="P14" s="169"/>
      <c r="Q14" s="169"/>
      <c r="R14" s="169"/>
      <c r="S14" s="169"/>
      <c r="T14" s="169"/>
      <c r="U14" s="169"/>
      <c r="V14" s="169"/>
      <c r="W14" s="169"/>
      <c r="X14" s="169"/>
      <c r="Y14" s="169"/>
      <c r="Z14" s="166"/>
    </row>
    <row r="15" spans="1:26" ht="14.45" x14ac:dyDescent="0.3">
      <c r="A15" s="166"/>
      <c r="B15" s="116" t="s">
        <v>85</v>
      </c>
      <c r="C15" s="132">
        <v>0</v>
      </c>
      <c r="D15" s="169"/>
      <c r="E15" s="166"/>
      <c r="F15" s="169"/>
      <c r="G15" s="102">
        <v>0.33333333333333298</v>
      </c>
      <c r="H15" s="98">
        <f>($C$8*CoincidenceFactor_HouseholdLoad!P38)/1000</f>
        <v>1.1184673087499999</v>
      </c>
      <c r="I15" s="98">
        <f>(CommercialLoadProfiles!C13)/1000</f>
        <v>0.95199999999999996</v>
      </c>
      <c r="J15" s="105">
        <f t="shared" si="0"/>
        <v>2.0704673087499996</v>
      </c>
      <c r="K15" s="169"/>
      <c r="L15" s="169"/>
      <c r="M15" s="169"/>
      <c r="N15" s="169"/>
      <c r="O15" s="169"/>
      <c r="P15" s="169"/>
      <c r="Q15" s="169"/>
      <c r="R15" s="169"/>
      <c r="S15" s="169"/>
      <c r="T15" s="169"/>
      <c r="U15" s="169"/>
      <c r="V15" s="169"/>
      <c r="W15" s="169"/>
      <c r="X15" s="169"/>
      <c r="Y15" s="169"/>
      <c r="Z15" s="166"/>
    </row>
    <row r="16" spans="1:26" ht="14.45" x14ac:dyDescent="0.3">
      <c r="A16" s="166"/>
      <c r="B16" s="116" t="s">
        <v>84</v>
      </c>
      <c r="C16" s="132">
        <v>0</v>
      </c>
      <c r="D16" s="169"/>
      <c r="E16" s="166"/>
      <c r="F16" s="169"/>
      <c r="G16" s="102">
        <v>0.375</v>
      </c>
      <c r="H16" s="98">
        <f>($C$8*CoincidenceFactor_HouseholdLoad!P39)/1000</f>
        <v>1.2460003875000001</v>
      </c>
      <c r="I16" s="98">
        <f>(CommercialLoadProfiles!C14)/1000</f>
        <v>1.0766</v>
      </c>
      <c r="J16" s="106">
        <f t="shared" si="0"/>
        <v>2.3226003875000001</v>
      </c>
      <c r="K16" s="169"/>
      <c r="L16" s="169"/>
      <c r="M16" s="169"/>
      <c r="N16" s="169"/>
      <c r="O16" s="169"/>
      <c r="P16" s="169"/>
      <c r="Q16" s="169"/>
      <c r="R16" s="169"/>
      <c r="S16" s="169"/>
      <c r="T16" s="169"/>
      <c r="U16" s="169"/>
      <c r="V16" s="169"/>
      <c r="W16" s="169"/>
      <c r="X16" s="169"/>
      <c r="Y16" s="169"/>
      <c r="Z16" s="166"/>
    </row>
    <row r="17" spans="1:26" ht="14.45" x14ac:dyDescent="0.3">
      <c r="A17" s="166"/>
      <c r="B17" s="116" t="s">
        <v>55</v>
      </c>
      <c r="C17" s="132">
        <v>2</v>
      </c>
      <c r="D17" s="169"/>
      <c r="E17" s="166"/>
      <c r="F17" s="169"/>
      <c r="G17" s="102">
        <v>0.41666666666666702</v>
      </c>
      <c r="H17" s="98">
        <f>($C$8*CoincidenceFactor_HouseholdLoad!P40)/1000</f>
        <v>1.2782396632499999</v>
      </c>
      <c r="I17" s="98">
        <f>(CommercialLoadProfiles!C15)/1000</f>
        <v>1.0766</v>
      </c>
      <c r="J17" s="107">
        <f t="shared" si="0"/>
        <v>2.3548396632499999</v>
      </c>
      <c r="K17" s="169"/>
      <c r="L17" s="169"/>
      <c r="M17" s="169"/>
      <c r="N17" s="169"/>
      <c r="O17" s="169"/>
      <c r="P17" s="169"/>
      <c r="Q17" s="169"/>
      <c r="R17" s="169"/>
      <c r="S17" s="169"/>
      <c r="T17" s="169"/>
      <c r="U17" s="169"/>
      <c r="V17" s="169"/>
      <c r="W17" s="169"/>
      <c r="X17" s="169"/>
      <c r="Y17" s="169"/>
      <c r="Z17" s="166"/>
    </row>
    <row r="18" spans="1:26" ht="14.45" x14ac:dyDescent="0.3">
      <c r="A18" s="166"/>
      <c r="B18" s="116" t="s">
        <v>54</v>
      </c>
      <c r="C18" s="132">
        <v>1</v>
      </c>
      <c r="D18" s="169"/>
      <c r="E18" s="166"/>
      <c r="F18" s="169"/>
      <c r="G18" s="102">
        <v>0.45833333333333298</v>
      </c>
      <c r="H18" s="98">
        <f>($C$8*CoincidenceFactor_HouseholdLoad!P41)/1000</f>
        <v>1.2624570749999997</v>
      </c>
      <c r="I18" s="98">
        <f>(CommercialLoadProfiles!C16)/1000</f>
        <v>1.0766</v>
      </c>
      <c r="J18" s="107">
        <f t="shared" si="0"/>
        <v>2.3390570749999995</v>
      </c>
      <c r="K18" s="169"/>
      <c r="L18" s="169"/>
      <c r="M18" s="169"/>
      <c r="N18" s="169"/>
      <c r="O18" s="169"/>
      <c r="P18" s="169"/>
      <c r="Q18" s="169"/>
      <c r="R18" s="169"/>
      <c r="S18" s="169"/>
      <c r="T18" s="169"/>
      <c r="U18" s="169"/>
      <c r="V18" s="169"/>
      <c r="W18" s="169"/>
      <c r="X18" s="169"/>
      <c r="Y18" s="169"/>
      <c r="Z18" s="166"/>
    </row>
    <row r="19" spans="1:26" ht="14.45" x14ac:dyDescent="0.3">
      <c r="A19" s="166"/>
      <c r="B19" s="116" t="s">
        <v>83</v>
      </c>
      <c r="C19" s="132">
        <v>0</v>
      </c>
      <c r="D19" s="169"/>
      <c r="E19" s="166"/>
      <c r="F19" s="169"/>
      <c r="G19" s="102">
        <v>0.5</v>
      </c>
      <c r="H19" s="98">
        <f>($C$8*CoincidenceFactor_HouseholdLoad!P42)/1000</f>
        <v>0.96463685999999971</v>
      </c>
      <c r="I19" s="98">
        <f>(CommercialLoadProfiles!C17)/1000</f>
        <v>1.0766</v>
      </c>
      <c r="J19" s="107">
        <f t="shared" si="0"/>
        <v>2.0412368599999997</v>
      </c>
      <c r="K19" s="169"/>
      <c r="L19" s="169"/>
      <c r="M19" s="169"/>
      <c r="N19" s="169"/>
      <c r="O19" s="169"/>
      <c r="P19" s="169"/>
      <c r="Q19" s="169"/>
      <c r="R19" s="169"/>
      <c r="S19" s="169"/>
      <c r="T19" s="169"/>
      <c r="U19" s="169"/>
      <c r="V19" s="169"/>
      <c r="W19" s="169"/>
      <c r="X19" s="169"/>
      <c r="Y19" s="169"/>
      <c r="Z19" s="166"/>
    </row>
    <row r="20" spans="1:26" thickBot="1" x14ac:dyDescent="0.35">
      <c r="A20" s="166"/>
      <c r="B20" s="117" t="s">
        <v>56</v>
      </c>
      <c r="C20" s="133">
        <v>0</v>
      </c>
      <c r="D20" s="169"/>
      <c r="E20" s="166"/>
      <c r="F20" s="169"/>
      <c r="G20" s="102">
        <v>0.54166666666666696</v>
      </c>
      <c r="H20" s="98">
        <f>($C$8*CoincidenceFactor_HouseholdLoad!P43)/1000</f>
        <v>0.88417074075000013</v>
      </c>
      <c r="I20" s="98">
        <f>(CommercialLoadProfiles!C18)/1000</f>
        <v>1.0766</v>
      </c>
      <c r="J20" s="107">
        <f t="shared" si="0"/>
        <v>1.9607707407500001</v>
      </c>
      <c r="K20" s="169"/>
      <c r="L20" s="169"/>
      <c r="M20" s="169"/>
      <c r="N20" s="169"/>
      <c r="O20" s="169"/>
      <c r="P20" s="169"/>
      <c r="Q20" s="169"/>
      <c r="R20" s="169"/>
      <c r="S20" s="169"/>
      <c r="T20" s="169"/>
      <c r="U20" s="169"/>
      <c r="V20" s="169"/>
      <c r="W20" s="169"/>
      <c r="X20" s="169"/>
      <c r="Y20" s="169"/>
      <c r="Z20" s="166"/>
    </row>
    <row r="21" spans="1:26" ht="14.45" x14ac:dyDescent="0.3">
      <c r="A21" s="166"/>
      <c r="B21" s="181" t="s">
        <v>122</v>
      </c>
      <c r="C21" s="169"/>
      <c r="D21" s="169"/>
      <c r="E21" s="166"/>
      <c r="F21" s="169"/>
      <c r="G21" s="102">
        <v>0.58333333333333304</v>
      </c>
      <c r="H21" s="98">
        <f>($C$8*CoincidenceFactor_HouseholdLoad!P44)/1000</f>
        <v>0.85619437199999981</v>
      </c>
      <c r="I21" s="98">
        <f>(CommercialLoadProfiles!C19)/1000</f>
        <v>1.0766</v>
      </c>
      <c r="J21" s="107">
        <f t="shared" si="0"/>
        <v>1.9327943719999998</v>
      </c>
      <c r="K21" s="169"/>
      <c r="L21" s="169"/>
      <c r="M21" s="169"/>
      <c r="N21" s="169"/>
      <c r="O21" s="169"/>
      <c r="P21" s="169"/>
      <c r="Q21" s="169"/>
      <c r="R21" s="169"/>
      <c r="S21" s="169"/>
      <c r="T21" s="169"/>
      <c r="U21" s="169"/>
      <c r="V21" s="169"/>
      <c r="W21" s="169"/>
      <c r="X21" s="169"/>
      <c r="Y21" s="169"/>
      <c r="Z21" s="166"/>
    </row>
    <row r="22" spans="1:26" ht="14.45" x14ac:dyDescent="0.3">
      <c r="A22" s="166"/>
      <c r="B22" s="169"/>
      <c r="C22" s="169"/>
      <c r="D22" s="169"/>
      <c r="E22" s="166"/>
      <c r="F22" s="169"/>
      <c r="G22" s="102">
        <v>0.625</v>
      </c>
      <c r="H22" s="98">
        <f>($C$8*CoincidenceFactor_HouseholdLoad!P45)/1000</f>
        <v>0.79535295674999984</v>
      </c>
      <c r="I22" s="98">
        <f>(CommercialLoadProfiles!C20)/1000</f>
        <v>1.0766</v>
      </c>
      <c r="J22" s="107">
        <f t="shared" si="0"/>
        <v>1.87195295675</v>
      </c>
      <c r="K22" s="169"/>
      <c r="L22" s="169"/>
      <c r="M22" s="169"/>
      <c r="N22" s="169"/>
      <c r="O22" s="169"/>
      <c r="P22" s="169"/>
      <c r="Q22" s="169"/>
      <c r="R22" s="169"/>
      <c r="S22" s="169"/>
      <c r="T22" s="169"/>
      <c r="U22" s="169"/>
      <c r="V22" s="169"/>
      <c r="W22" s="169"/>
      <c r="X22" s="169"/>
      <c r="Y22" s="169"/>
      <c r="Z22" s="166"/>
    </row>
    <row r="23" spans="1:26" ht="14.45" x14ac:dyDescent="0.3">
      <c r="A23" s="166"/>
      <c r="B23" s="169"/>
      <c r="C23" s="169"/>
      <c r="D23" s="169"/>
      <c r="E23" s="166"/>
      <c r="F23" s="169"/>
      <c r="G23" s="102">
        <v>0.66666666666666696</v>
      </c>
      <c r="H23" s="98">
        <f>($C$8*CoincidenceFactor_HouseholdLoad!P46)/1000</f>
        <v>1.0230443520000001</v>
      </c>
      <c r="I23" s="98">
        <f>(CommercialLoadProfiles!C21)/1000</f>
        <v>1.0214000000000001</v>
      </c>
      <c r="J23" s="107">
        <f t="shared" si="0"/>
        <v>2.0444443520000002</v>
      </c>
      <c r="K23" s="169"/>
      <c r="L23" s="169"/>
      <c r="M23" s="169"/>
      <c r="N23" s="169"/>
      <c r="O23" s="169"/>
      <c r="P23" s="169"/>
      <c r="Q23" s="169"/>
      <c r="R23" s="169"/>
      <c r="S23" s="169"/>
      <c r="T23" s="169"/>
      <c r="U23" s="169"/>
      <c r="V23" s="169"/>
      <c r="W23" s="169"/>
      <c r="X23" s="169"/>
      <c r="Y23" s="169"/>
      <c r="Z23" s="166"/>
    </row>
    <row r="24" spans="1:26" ht="14.45" x14ac:dyDescent="0.3">
      <c r="A24" s="166"/>
      <c r="B24" s="169"/>
      <c r="C24" s="169"/>
      <c r="D24" s="169"/>
      <c r="E24" s="166"/>
      <c r="F24" s="169"/>
      <c r="G24" s="102">
        <v>0.70833333333333304</v>
      </c>
      <c r="H24" s="98">
        <f>($C$8*CoincidenceFactor_HouseholdLoad!P47)/1000</f>
        <v>1.7882286592499996</v>
      </c>
      <c r="I24" s="98">
        <f>(CommercialLoadProfiles!C22)/1000</f>
        <v>0.69240000000000013</v>
      </c>
      <c r="J24" s="107">
        <f t="shared" si="0"/>
        <v>2.4806286592499998</v>
      </c>
      <c r="K24" s="169"/>
      <c r="L24" s="169"/>
      <c r="M24" s="169"/>
      <c r="N24" s="169"/>
      <c r="O24" s="169"/>
      <c r="P24" s="169"/>
      <c r="Q24" s="169"/>
      <c r="R24" s="169"/>
      <c r="S24" s="169"/>
      <c r="T24" s="169"/>
      <c r="U24" s="169"/>
      <c r="V24" s="169"/>
      <c r="W24" s="169"/>
      <c r="X24" s="169"/>
      <c r="Y24" s="169"/>
      <c r="Z24" s="166"/>
    </row>
    <row r="25" spans="1:26" x14ac:dyDescent="0.25">
      <c r="A25" s="166"/>
      <c r="B25" s="169"/>
      <c r="C25" s="169"/>
      <c r="D25" s="169"/>
      <c r="E25" s="166"/>
      <c r="F25" s="169"/>
      <c r="G25" s="102">
        <v>0.75</v>
      </c>
      <c r="H25" s="98">
        <f>($C$8*CoincidenceFactor_HouseholdLoad!P48)/1000</f>
        <v>2.6948371559999997</v>
      </c>
      <c r="I25" s="98">
        <f>(CommercialLoadProfiles!C23)/1000</f>
        <v>0.59840000000000004</v>
      </c>
      <c r="J25" s="107">
        <f t="shared" si="0"/>
        <v>3.293237156</v>
      </c>
      <c r="K25" s="169"/>
      <c r="L25" s="169"/>
      <c r="M25" s="169"/>
      <c r="N25" s="169"/>
      <c r="O25" s="169"/>
      <c r="P25" s="169"/>
      <c r="Q25" s="169"/>
      <c r="R25" s="169"/>
      <c r="S25" s="169"/>
      <c r="T25" s="169"/>
      <c r="U25" s="169"/>
      <c r="V25" s="169"/>
      <c r="W25" s="169"/>
      <c r="X25" s="169"/>
      <c r="Y25" s="169"/>
      <c r="Z25" s="166"/>
    </row>
    <row r="26" spans="1:26" x14ac:dyDescent="0.25">
      <c r="A26" s="166"/>
      <c r="B26" s="169"/>
      <c r="C26" s="169"/>
      <c r="D26" s="169"/>
      <c r="E26" s="166"/>
      <c r="F26" s="169"/>
      <c r="G26" s="102">
        <v>0.79166666666666696</v>
      </c>
      <c r="H26" s="98">
        <f>($C$8*CoincidenceFactor_HouseholdLoad!P49)/1000</f>
        <v>4.0579441649999985</v>
      </c>
      <c r="I26" s="98">
        <f>(CommercialLoadProfiles!C24)/1000</f>
        <v>0.63719999999999988</v>
      </c>
      <c r="J26" s="107">
        <f t="shared" si="0"/>
        <v>4.6951441649999985</v>
      </c>
      <c r="K26" s="169"/>
      <c r="L26" s="169"/>
      <c r="M26" s="169"/>
      <c r="N26" s="169"/>
      <c r="O26" s="169"/>
      <c r="P26" s="169"/>
      <c r="Q26" s="169"/>
      <c r="R26" s="169"/>
      <c r="S26" s="169"/>
      <c r="T26" s="169"/>
      <c r="U26" s="169"/>
      <c r="V26" s="169"/>
      <c r="W26" s="169"/>
      <c r="X26" s="169"/>
      <c r="Y26" s="169"/>
      <c r="Z26" s="166"/>
    </row>
    <row r="27" spans="1:26" x14ac:dyDescent="0.25">
      <c r="A27" s="166"/>
      <c r="B27" s="169"/>
      <c r="C27" s="169"/>
      <c r="D27" s="169"/>
      <c r="E27" s="166"/>
      <c r="F27" s="169"/>
      <c r="G27" s="102">
        <v>0.83333333333333304</v>
      </c>
      <c r="H27" s="98">
        <f>($C$8*CoincidenceFactor_HouseholdLoad!P50)/1000</f>
        <v>5.2234401037499998</v>
      </c>
      <c r="I27" s="98">
        <f>(CommercialLoadProfiles!C25)/1000</f>
        <v>0.63719999999999988</v>
      </c>
      <c r="J27" s="107">
        <f t="shared" si="0"/>
        <v>5.8606401037499998</v>
      </c>
      <c r="K27" s="169"/>
      <c r="L27" s="169"/>
      <c r="M27" s="169"/>
      <c r="N27" s="169"/>
      <c r="O27" s="169"/>
      <c r="P27" s="169"/>
      <c r="Q27" s="169"/>
      <c r="R27" s="169"/>
      <c r="S27" s="169"/>
      <c r="T27" s="169"/>
      <c r="U27" s="169"/>
      <c r="V27" s="169"/>
      <c r="W27" s="169"/>
      <c r="X27" s="169"/>
      <c r="Y27" s="169"/>
      <c r="Z27" s="166"/>
    </row>
    <row r="28" spans="1:26" x14ac:dyDescent="0.25">
      <c r="A28" s="166"/>
      <c r="B28" s="169"/>
      <c r="C28" s="169"/>
      <c r="D28" s="169"/>
      <c r="E28" s="166"/>
      <c r="F28" s="169"/>
      <c r="G28" s="102">
        <v>0.875</v>
      </c>
      <c r="H28" s="98">
        <f>($C$8*CoincidenceFactor_HouseholdLoad!P51)/1000</f>
        <v>4.9098547987499996</v>
      </c>
      <c r="I28" s="98">
        <f>(CommercialLoadProfiles!C26)/1000</f>
        <v>0.63719999999999988</v>
      </c>
      <c r="J28" s="105">
        <f t="shared" si="0"/>
        <v>5.5470547987499996</v>
      </c>
      <c r="K28" s="169"/>
      <c r="L28" s="169"/>
      <c r="M28" s="169"/>
      <c r="N28" s="169"/>
      <c r="O28" s="169"/>
      <c r="P28" s="169"/>
      <c r="Q28" s="169"/>
      <c r="R28" s="169"/>
      <c r="S28" s="169"/>
      <c r="T28" s="169"/>
      <c r="U28" s="169"/>
      <c r="V28" s="169"/>
      <c r="W28" s="169"/>
      <c r="X28" s="169"/>
      <c r="Y28" s="169"/>
      <c r="Z28" s="166"/>
    </row>
    <row r="29" spans="1:26" x14ac:dyDescent="0.25">
      <c r="A29" s="166"/>
      <c r="B29" s="169"/>
      <c r="C29" s="169"/>
      <c r="D29" s="169"/>
      <c r="E29" s="166"/>
      <c r="F29" s="169"/>
      <c r="G29" s="102">
        <v>0.91666666666666696</v>
      </c>
      <c r="H29" s="98">
        <f>($C$8*CoincidenceFactor_HouseholdLoad!P52)/1000</f>
        <v>3.1541045580000007</v>
      </c>
      <c r="I29" s="98">
        <f>(CommercialLoadProfiles!C27)/1000</f>
        <v>0.48199999999999998</v>
      </c>
      <c r="J29" s="105">
        <f t="shared" si="0"/>
        <v>3.6361045580000004</v>
      </c>
      <c r="K29" s="169"/>
      <c r="L29" s="169"/>
      <c r="M29" s="169"/>
      <c r="N29" s="169"/>
      <c r="O29" s="169"/>
      <c r="P29" s="169"/>
      <c r="Q29" s="169"/>
      <c r="R29" s="169"/>
      <c r="S29" s="169"/>
      <c r="T29" s="169"/>
      <c r="U29" s="169"/>
      <c r="V29" s="169"/>
      <c r="W29" s="169"/>
      <c r="X29" s="169"/>
      <c r="Y29" s="169"/>
      <c r="Z29" s="166"/>
    </row>
    <row r="30" spans="1:26" ht="15.75" thickBot="1" x14ac:dyDescent="0.3">
      <c r="A30" s="166"/>
      <c r="B30" s="169"/>
      <c r="C30" s="169"/>
      <c r="D30" s="169"/>
      <c r="E30" s="166"/>
      <c r="F30" s="169"/>
      <c r="G30" s="110">
        <v>0.95833333333333304</v>
      </c>
      <c r="H30" s="111">
        <f>($C$8*CoincidenceFactor_HouseholdLoad!P53)/1000</f>
        <v>1.5453237855000002</v>
      </c>
      <c r="I30" s="111">
        <f>(CommercialLoadProfiles!C28)/1000</f>
        <v>0.32679999999999998</v>
      </c>
      <c r="J30" s="112">
        <f t="shared" si="0"/>
        <v>1.8721237855000001</v>
      </c>
      <c r="K30" s="169"/>
      <c r="L30" s="169"/>
      <c r="M30" s="169"/>
      <c r="N30" s="169"/>
      <c r="O30" s="169"/>
      <c r="P30" s="169"/>
      <c r="Q30" s="169"/>
      <c r="R30" s="169"/>
      <c r="S30" s="169"/>
      <c r="T30" s="169"/>
      <c r="U30" s="169"/>
      <c r="V30" s="169"/>
      <c r="W30" s="169"/>
      <c r="X30" s="169"/>
      <c r="Y30" s="169"/>
      <c r="Z30" s="166"/>
    </row>
    <row r="31" spans="1:26" x14ac:dyDescent="0.25">
      <c r="A31" s="166"/>
      <c r="B31" s="169"/>
      <c r="C31" s="169"/>
      <c r="D31" s="169"/>
      <c r="E31" s="166"/>
      <c r="F31" s="169"/>
      <c r="G31" s="101" t="s">
        <v>12</v>
      </c>
      <c r="H31" s="113">
        <f t="shared" ref="H31:J31" si="1">SUM(H7:H30)</f>
        <v>37.167949499999999</v>
      </c>
      <c r="I31" s="113">
        <f t="shared" si="1"/>
        <v>16.831999999999994</v>
      </c>
      <c r="J31" s="118">
        <f t="shared" si="1"/>
        <v>53.999949499999992</v>
      </c>
      <c r="K31" s="169"/>
      <c r="L31" s="169"/>
      <c r="M31" s="169"/>
      <c r="N31" s="169"/>
      <c r="O31" s="169"/>
      <c r="P31" s="169"/>
      <c r="Q31" s="169"/>
      <c r="R31" s="169"/>
      <c r="S31" s="169"/>
      <c r="T31" s="169"/>
      <c r="U31" s="169"/>
      <c r="V31" s="169"/>
      <c r="W31" s="169"/>
      <c r="X31" s="169"/>
      <c r="Y31" s="169"/>
      <c r="Z31" s="166"/>
    </row>
    <row r="32" spans="1:26" x14ac:dyDescent="0.25">
      <c r="A32" s="166"/>
      <c r="B32" s="169"/>
      <c r="C32" s="169"/>
      <c r="D32" s="169"/>
      <c r="E32" s="166"/>
      <c r="F32" s="169"/>
      <c r="G32" s="102" t="s">
        <v>13</v>
      </c>
      <c r="H32" s="114">
        <f>(365*H31)</f>
        <v>13566.301567499999</v>
      </c>
      <c r="I32" s="114">
        <f t="shared" ref="I32:J32" si="2">365*I31</f>
        <v>6143.6799999999976</v>
      </c>
      <c r="J32" s="119">
        <f t="shared" si="2"/>
        <v>19709.981567499999</v>
      </c>
      <c r="K32" s="169"/>
      <c r="L32" s="169"/>
      <c r="M32" s="169"/>
      <c r="N32" s="169"/>
      <c r="O32" s="169"/>
      <c r="P32" s="169"/>
      <c r="Q32" s="169"/>
      <c r="R32" s="169"/>
      <c r="S32" s="169"/>
      <c r="T32" s="169"/>
      <c r="U32" s="169"/>
      <c r="V32" s="169"/>
      <c r="W32" s="169"/>
      <c r="X32" s="169"/>
      <c r="Y32" s="169"/>
      <c r="Z32" s="166"/>
    </row>
    <row r="33" spans="1:26" x14ac:dyDescent="0.25">
      <c r="A33" s="166"/>
      <c r="B33" s="169"/>
      <c r="C33" s="169"/>
      <c r="D33" s="169"/>
      <c r="E33" s="166"/>
      <c r="F33" s="169"/>
      <c r="G33" s="102" t="s">
        <v>32</v>
      </c>
      <c r="H33" s="98">
        <f>MAX(H7:H30)</f>
        <v>5.2234401037499998</v>
      </c>
      <c r="I33" s="98">
        <f t="shared" ref="I33:J33" si="3">MAX(I7:I30)</f>
        <v>1.0766</v>
      </c>
      <c r="J33" s="120">
        <f t="shared" si="3"/>
        <v>5.8606401037499998</v>
      </c>
      <c r="K33" s="169"/>
      <c r="L33" s="169"/>
      <c r="M33" s="169"/>
      <c r="N33" s="169"/>
      <c r="O33" s="169"/>
      <c r="P33" s="169"/>
      <c r="Q33" s="169"/>
      <c r="R33" s="169"/>
      <c r="S33" s="169"/>
      <c r="T33" s="169"/>
      <c r="U33" s="169"/>
      <c r="V33" s="169"/>
      <c r="W33" s="169"/>
      <c r="X33" s="169"/>
      <c r="Y33" s="169"/>
      <c r="Z33" s="166"/>
    </row>
    <row r="34" spans="1:26" ht="15.75" thickBot="1" x14ac:dyDescent="0.3">
      <c r="A34" s="166"/>
      <c r="B34" s="169"/>
      <c r="C34" s="169"/>
      <c r="D34" s="169"/>
      <c r="E34" s="166"/>
      <c r="F34" s="169"/>
      <c r="G34" s="108" t="s">
        <v>89</v>
      </c>
      <c r="H34" s="109">
        <f>MIN(H7:H30)</f>
        <v>0.39860346900000004</v>
      </c>
      <c r="I34" s="109">
        <f t="shared" ref="I34:J34" si="4">MIN(I7:I30)</f>
        <v>0.32679999999999998</v>
      </c>
      <c r="J34" s="121">
        <f t="shared" si="4"/>
        <v>0.72540346899999997</v>
      </c>
      <c r="K34" s="169"/>
      <c r="L34" s="169"/>
      <c r="M34" s="169"/>
      <c r="N34" s="169"/>
      <c r="O34" s="169"/>
      <c r="P34" s="169"/>
      <c r="Q34" s="169"/>
      <c r="R34" s="169"/>
      <c r="S34" s="169"/>
      <c r="T34" s="169"/>
      <c r="U34" s="169"/>
      <c r="V34" s="169"/>
      <c r="W34" s="169"/>
      <c r="X34" s="169"/>
      <c r="Y34" s="169"/>
      <c r="Z34" s="166"/>
    </row>
    <row r="35" spans="1:26" x14ac:dyDescent="0.25">
      <c r="A35" s="166"/>
      <c r="B35" s="169"/>
      <c r="C35" s="169"/>
      <c r="D35" s="169"/>
      <c r="E35" s="166"/>
      <c r="F35" s="169"/>
      <c r="G35" s="169"/>
      <c r="H35" s="169"/>
      <c r="I35" s="169"/>
      <c r="J35" s="169"/>
      <c r="K35" s="169"/>
      <c r="L35" s="169"/>
      <c r="M35" s="169"/>
      <c r="N35" s="169"/>
      <c r="O35" s="169"/>
      <c r="P35" s="169"/>
      <c r="Q35" s="169"/>
      <c r="R35" s="169"/>
      <c r="S35" s="169"/>
      <c r="T35" s="169"/>
      <c r="U35" s="169"/>
      <c r="V35" s="169"/>
      <c r="W35" s="169"/>
      <c r="X35" s="169"/>
      <c r="Y35" s="169"/>
      <c r="Z35" s="166"/>
    </row>
    <row r="36" spans="1:26" ht="9.6" customHeight="1" x14ac:dyDescent="0.25">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row>
  </sheetData>
  <sheetProtection password="ECBF" sheet="1" objects="1" scenarios="1"/>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E39"/>
  </sheetPr>
  <dimension ref="B1:AQ99"/>
  <sheetViews>
    <sheetView showRowColHeaders="0" zoomScale="85" zoomScaleNormal="85" workbookViewId="0"/>
  </sheetViews>
  <sheetFormatPr defaultColWidth="8.85546875" defaultRowHeight="15" x14ac:dyDescent="0.25"/>
  <cols>
    <col min="1" max="1" width="3.7109375" style="16" customWidth="1"/>
    <col min="2" max="2" width="26.5703125" style="16" customWidth="1"/>
    <col min="3" max="29" width="20.5703125" style="16" customWidth="1"/>
    <col min="30" max="36" width="6.140625" style="16" customWidth="1"/>
    <col min="37" max="38" width="16.42578125" style="16" customWidth="1"/>
    <col min="39" max="39" width="25.7109375" style="16" bestFit="1" customWidth="1"/>
    <col min="40" max="40" width="5.5703125" style="16" bestFit="1" customWidth="1"/>
    <col min="41" max="41" width="5.42578125" style="16" bestFit="1" customWidth="1"/>
    <col min="42" max="16384" width="8.85546875" style="16"/>
  </cols>
  <sheetData>
    <row r="1" spans="2:7" ht="31.15" x14ac:dyDescent="0.6">
      <c r="B1" s="59" t="s">
        <v>65</v>
      </c>
    </row>
    <row r="3" spans="2:7" ht="21.6" thickBot="1" x14ac:dyDescent="0.45">
      <c r="B3" s="35" t="s">
        <v>100</v>
      </c>
    </row>
    <row r="4" spans="2:7" s="18" customFormat="1" ht="58.15" thickBot="1" x14ac:dyDescent="0.35">
      <c r="B4" s="55"/>
      <c r="C4" s="54" t="s">
        <v>98</v>
      </c>
      <c r="D4" s="52" t="s">
        <v>112</v>
      </c>
      <c r="E4" s="52" t="s">
        <v>99</v>
      </c>
      <c r="F4" s="53" t="s">
        <v>118</v>
      </c>
    </row>
    <row r="5" spans="2:7" ht="14.45" x14ac:dyDescent="0.3">
      <c r="B5" s="56">
        <v>0</v>
      </c>
      <c r="C5" s="153">
        <f>C72</f>
        <v>8.5</v>
      </c>
      <c r="D5" s="146">
        <f>C85</f>
        <v>2</v>
      </c>
      <c r="E5" s="146">
        <f>C98</f>
        <v>0.5</v>
      </c>
      <c r="F5" s="86">
        <f>'Inputs&amp;OutputSummary'!$C$9*HouseholdLoadProfiles!C5+'Inputs&amp;OutputSummary'!$C$10*HouseholdLoadProfiles!D5+'Inputs&amp;OutputSummary'!$C$11*HouseholdLoadProfiles!E5</f>
        <v>3.6663000000000001</v>
      </c>
      <c r="G5" s="21"/>
    </row>
    <row r="6" spans="2:7" ht="14.45" x14ac:dyDescent="0.3">
      <c r="B6" s="57">
        <v>4.1666666666666699E-2</v>
      </c>
      <c r="C6" s="154">
        <f>D72</f>
        <v>8.5</v>
      </c>
      <c r="D6" s="148">
        <f>D85</f>
        <v>2</v>
      </c>
      <c r="E6" s="148">
        <f>D98</f>
        <v>0.5</v>
      </c>
      <c r="F6" s="86">
        <f>'Inputs&amp;OutputSummary'!$C$9*HouseholdLoadProfiles!C6+'Inputs&amp;OutputSummary'!$C$10*HouseholdLoadProfiles!D6+'Inputs&amp;OutputSummary'!$C$11*HouseholdLoadProfiles!E6</f>
        <v>3.6663000000000001</v>
      </c>
      <c r="G6" s="21"/>
    </row>
    <row r="7" spans="2:7" ht="14.45" x14ac:dyDescent="0.3">
      <c r="B7" s="57">
        <v>8.3333333333333301E-2</v>
      </c>
      <c r="C7" s="154">
        <f>E72</f>
        <v>8.5</v>
      </c>
      <c r="D7" s="148">
        <f>E85</f>
        <v>2</v>
      </c>
      <c r="E7" s="148">
        <f>E98</f>
        <v>0.5</v>
      </c>
      <c r="F7" s="86">
        <f>'Inputs&amp;OutputSummary'!$C$9*HouseholdLoadProfiles!C7+'Inputs&amp;OutputSummary'!$C$10*HouseholdLoadProfiles!D7+'Inputs&amp;OutputSummary'!$C$11*HouseholdLoadProfiles!E7</f>
        <v>3.6663000000000001</v>
      </c>
      <c r="G7" s="21"/>
    </row>
    <row r="8" spans="2:7" ht="14.45" x14ac:dyDescent="0.3">
      <c r="B8" s="57">
        <v>0.125</v>
      </c>
      <c r="C8" s="154">
        <f>F72</f>
        <v>8.5</v>
      </c>
      <c r="D8" s="148">
        <f>F85</f>
        <v>2</v>
      </c>
      <c r="E8" s="148">
        <f>F98</f>
        <v>0.5</v>
      </c>
      <c r="F8" s="86">
        <f>'Inputs&amp;OutputSummary'!$C$9*HouseholdLoadProfiles!C8+'Inputs&amp;OutputSummary'!$C$10*HouseholdLoadProfiles!D8+'Inputs&amp;OutputSummary'!$C$11*HouseholdLoadProfiles!E8</f>
        <v>3.6663000000000001</v>
      </c>
      <c r="G8" s="21"/>
    </row>
    <row r="9" spans="2:7" ht="14.45" x14ac:dyDescent="0.3">
      <c r="B9" s="57">
        <v>0.16666666666666699</v>
      </c>
      <c r="C9" s="154">
        <f>G72</f>
        <v>8.5</v>
      </c>
      <c r="D9" s="148">
        <f>G85</f>
        <v>2</v>
      </c>
      <c r="E9" s="148">
        <f>G98</f>
        <v>0.5</v>
      </c>
      <c r="F9" s="86">
        <f>'Inputs&amp;OutputSummary'!$C$9*HouseholdLoadProfiles!C9+'Inputs&amp;OutputSummary'!$C$10*HouseholdLoadProfiles!D9+'Inputs&amp;OutputSummary'!$C$11*HouseholdLoadProfiles!E9</f>
        <v>3.6663000000000001</v>
      </c>
      <c r="G9" s="21"/>
    </row>
    <row r="10" spans="2:7" ht="14.45" x14ac:dyDescent="0.3">
      <c r="B10" s="57">
        <v>0.20833333333333301</v>
      </c>
      <c r="C10" s="154">
        <f>H72</f>
        <v>8.5</v>
      </c>
      <c r="D10" s="148">
        <f>H85</f>
        <v>2</v>
      </c>
      <c r="E10" s="148">
        <f>H98</f>
        <v>0.5</v>
      </c>
      <c r="F10" s="86">
        <f>'Inputs&amp;OutputSummary'!$C$9*HouseholdLoadProfiles!C10+'Inputs&amp;OutputSummary'!$C$10*HouseholdLoadProfiles!D10+'Inputs&amp;OutputSummary'!$C$11*HouseholdLoadProfiles!E10</f>
        <v>3.6663000000000001</v>
      </c>
      <c r="G10" s="21"/>
    </row>
    <row r="11" spans="2:7" ht="14.45" x14ac:dyDescent="0.3">
      <c r="B11" s="57">
        <v>0.25</v>
      </c>
      <c r="C11" s="154">
        <f>I72</f>
        <v>10.012</v>
      </c>
      <c r="D11" s="148">
        <f>I85</f>
        <v>2.88</v>
      </c>
      <c r="E11" s="148">
        <f>I98</f>
        <v>0.82800000000000007</v>
      </c>
      <c r="F11" s="86">
        <f>'Inputs&amp;OutputSummary'!$C$9*HouseholdLoadProfiles!C11+'Inputs&amp;OutputSummary'!$C$10*HouseholdLoadProfiles!D11+'Inputs&amp;OutputSummary'!$C$11*HouseholdLoadProfiles!E11</f>
        <v>4.5728759999999999</v>
      </c>
      <c r="G11" s="21"/>
    </row>
    <row r="12" spans="2:7" ht="14.45" x14ac:dyDescent="0.3">
      <c r="B12" s="57">
        <v>0.29166666666666702</v>
      </c>
      <c r="C12" s="154">
        <f>J72</f>
        <v>10.012</v>
      </c>
      <c r="D12" s="148">
        <f>J85</f>
        <v>2.88</v>
      </c>
      <c r="E12" s="148">
        <f>J98</f>
        <v>0.82800000000000007</v>
      </c>
      <c r="F12" s="86">
        <f>'Inputs&amp;OutputSummary'!$C$9*HouseholdLoadProfiles!C12+'Inputs&amp;OutputSummary'!$C$10*HouseholdLoadProfiles!D12+'Inputs&amp;OutputSummary'!$C$11*HouseholdLoadProfiles!E12</f>
        <v>4.5728759999999999</v>
      </c>
      <c r="G12" s="21"/>
    </row>
    <row r="13" spans="2:7" ht="14.45" x14ac:dyDescent="0.3">
      <c r="B13" s="57">
        <v>0.33333333333333298</v>
      </c>
      <c r="C13" s="154">
        <f>K72</f>
        <v>29.862000000000002</v>
      </c>
      <c r="D13" s="148">
        <f>K85</f>
        <v>8.9425000000000008</v>
      </c>
      <c r="E13" s="148">
        <f>K98</f>
        <v>1.9405000000000001</v>
      </c>
      <c r="F13" s="86">
        <f>'Inputs&amp;OutputSummary'!$C$9*HouseholdLoadProfiles!C13+'Inputs&amp;OutputSummary'!$C$10*HouseholdLoadProfiles!D13+'Inputs&amp;OutputSummary'!$C$11*HouseholdLoadProfiles!E13</f>
        <v>13.580308499999999</v>
      </c>
      <c r="G13" s="21"/>
    </row>
    <row r="14" spans="2:7" ht="14.45" x14ac:dyDescent="0.3">
      <c r="B14" s="57">
        <v>0.375</v>
      </c>
      <c r="C14" s="154">
        <f>L72</f>
        <v>29.862000000000002</v>
      </c>
      <c r="D14" s="148">
        <f>L85</f>
        <v>8.9425000000000008</v>
      </c>
      <c r="E14" s="148">
        <f>L98</f>
        <v>1.9405000000000001</v>
      </c>
      <c r="F14" s="86">
        <f>'Inputs&amp;OutputSummary'!$C$9*HouseholdLoadProfiles!C14+'Inputs&amp;OutputSummary'!$C$10*HouseholdLoadProfiles!D14+'Inputs&amp;OutputSummary'!$C$11*HouseholdLoadProfiles!E14</f>
        <v>13.580308499999999</v>
      </c>
      <c r="G14" s="21"/>
    </row>
    <row r="15" spans="2:7" ht="14.45" x14ac:dyDescent="0.3">
      <c r="B15" s="57">
        <v>0.41666666666666702</v>
      </c>
      <c r="C15" s="154">
        <f>M72</f>
        <v>29.862000000000002</v>
      </c>
      <c r="D15" s="148">
        <f>M85</f>
        <v>8.9425000000000008</v>
      </c>
      <c r="E15" s="148">
        <f>M98</f>
        <v>1.9405000000000001</v>
      </c>
      <c r="F15" s="86">
        <f>'Inputs&amp;OutputSummary'!$C$9*HouseholdLoadProfiles!C15+'Inputs&amp;OutputSummary'!$C$10*HouseholdLoadProfiles!D15+'Inputs&amp;OutputSummary'!$C$11*HouseholdLoadProfiles!E15</f>
        <v>13.580308499999999</v>
      </c>
      <c r="G15" s="21"/>
    </row>
    <row r="16" spans="2:7" ht="14.45" x14ac:dyDescent="0.3">
      <c r="B16" s="57">
        <v>0.45833333333333298</v>
      </c>
      <c r="C16" s="154">
        <f>N72</f>
        <v>32.130000000000003</v>
      </c>
      <c r="D16" s="148">
        <f>N85</f>
        <v>10.262500000000001</v>
      </c>
      <c r="E16" s="148">
        <f>N98</f>
        <v>2.4325000000000001</v>
      </c>
      <c r="F16" s="86">
        <f>'Inputs&amp;OutputSummary'!$C$9*HouseholdLoadProfiles!C16+'Inputs&amp;OutputSummary'!$C$10*HouseholdLoadProfiles!D16+'Inputs&amp;OutputSummary'!$C$11*HouseholdLoadProfiles!E16</f>
        <v>14.940172500000001</v>
      </c>
      <c r="G16" s="21"/>
    </row>
    <row r="17" spans="2:13" ht="14.45" x14ac:dyDescent="0.3">
      <c r="B17" s="57">
        <v>0.5</v>
      </c>
      <c r="C17" s="154">
        <f>O72</f>
        <v>17.98</v>
      </c>
      <c r="D17" s="148">
        <f>O85</f>
        <v>5.3250000000000002</v>
      </c>
      <c r="E17" s="148">
        <f>O98</f>
        <v>1.5449999999999999</v>
      </c>
      <c r="F17" s="86">
        <f>'Inputs&amp;OutputSummary'!$C$9*HouseholdLoadProfiles!C17+'Inputs&amp;OutputSummary'!$C$10*HouseholdLoadProfiles!D17+'Inputs&amp;OutputSummary'!$C$11*HouseholdLoadProfiles!E17</f>
        <v>8.2825049999999987</v>
      </c>
      <c r="G17" s="21"/>
    </row>
    <row r="18" spans="2:13" ht="14.45" x14ac:dyDescent="0.3">
      <c r="B18" s="57">
        <v>0.54166666666666696</v>
      </c>
      <c r="C18" s="154">
        <f>P72</f>
        <v>17.98</v>
      </c>
      <c r="D18" s="148">
        <f>P85</f>
        <v>5.3250000000000002</v>
      </c>
      <c r="E18" s="148">
        <f>P98</f>
        <v>1.5449999999999999</v>
      </c>
      <c r="F18" s="86">
        <f>'Inputs&amp;OutputSummary'!$C$9*HouseholdLoadProfiles!C18+'Inputs&amp;OutputSummary'!$C$10*HouseholdLoadProfiles!D18+'Inputs&amp;OutputSummary'!$C$11*HouseholdLoadProfiles!E18</f>
        <v>8.2825049999999987</v>
      </c>
      <c r="G18" s="21"/>
    </row>
    <row r="19" spans="2:13" ht="14.45" x14ac:dyDescent="0.3">
      <c r="B19" s="57">
        <v>0.58333333333333304</v>
      </c>
      <c r="C19" s="154">
        <f>Q72</f>
        <v>17.98</v>
      </c>
      <c r="D19" s="148">
        <f>Q85</f>
        <v>5.3250000000000002</v>
      </c>
      <c r="E19" s="148">
        <f>Q98</f>
        <v>1.5449999999999999</v>
      </c>
      <c r="F19" s="86">
        <f>'Inputs&amp;OutputSummary'!$C$9*HouseholdLoadProfiles!C19+'Inputs&amp;OutputSummary'!$C$10*HouseholdLoadProfiles!D19+'Inputs&amp;OutputSummary'!$C$11*HouseholdLoadProfiles!E19</f>
        <v>8.2825049999999987</v>
      </c>
      <c r="G19" s="21"/>
    </row>
    <row r="20" spans="2:13" ht="14.45" x14ac:dyDescent="0.3">
      <c r="B20" s="57">
        <v>0.625</v>
      </c>
      <c r="C20" s="154">
        <f>R72</f>
        <v>11.35</v>
      </c>
      <c r="D20" s="148">
        <f>R85</f>
        <v>2.5625</v>
      </c>
      <c r="E20" s="148">
        <f>R98</f>
        <v>0.61250000000000004</v>
      </c>
      <c r="F20" s="86">
        <f>'Inputs&amp;OutputSummary'!$C$9*HouseholdLoadProfiles!C20+'Inputs&amp;OutputSummary'!$C$10*HouseholdLoadProfiles!D20+'Inputs&amp;OutputSummary'!$C$11*HouseholdLoadProfiles!E20</f>
        <v>4.8411824999999995</v>
      </c>
      <c r="G20" s="21"/>
    </row>
    <row r="21" spans="2:13" ht="14.45" x14ac:dyDescent="0.3">
      <c r="B21" s="57">
        <v>0.66666666666666696</v>
      </c>
      <c r="C21" s="154">
        <f>S72</f>
        <v>11.35</v>
      </c>
      <c r="D21" s="148">
        <f>S85</f>
        <v>2.5625</v>
      </c>
      <c r="E21" s="148">
        <f>S98</f>
        <v>0.61250000000000004</v>
      </c>
      <c r="F21" s="86">
        <f>'Inputs&amp;OutputSummary'!$C$9*HouseholdLoadProfiles!C21+'Inputs&amp;OutputSummary'!$C$10*HouseholdLoadProfiles!D21+'Inputs&amp;OutputSummary'!$C$11*HouseholdLoadProfiles!E21</f>
        <v>4.8411824999999995</v>
      </c>
      <c r="G21" s="21"/>
    </row>
    <row r="22" spans="2:13" ht="14.45" x14ac:dyDescent="0.3">
      <c r="B22" s="57">
        <v>0.70833333333333304</v>
      </c>
      <c r="C22" s="154">
        <f>T72</f>
        <v>28.36</v>
      </c>
      <c r="D22" s="148">
        <f>T85</f>
        <v>13.150000000000002</v>
      </c>
      <c r="E22" s="148">
        <f>T98</f>
        <v>4.54</v>
      </c>
      <c r="F22" s="86">
        <f>'Inputs&amp;OutputSummary'!$C$9*HouseholdLoadProfiles!C22+'Inputs&amp;OutputSummary'!$C$10*HouseholdLoadProfiles!D22+'Inputs&amp;OutputSummary'!$C$11*HouseholdLoadProfiles!E22</f>
        <v>15.348465000000001</v>
      </c>
      <c r="G22" s="21"/>
    </row>
    <row r="23" spans="2:13" ht="14.45" x14ac:dyDescent="0.3">
      <c r="B23" s="57">
        <v>0.75</v>
      </c>
      <c r="C23" s="154">
        <f>U72</f>
        <v>42.589999999999996</v>
      </c>
      <c r="D23" s="148">
        <f>U85</f>
        <v>21.094999999999999</v>
      </c>
      <c r="E23" s="148">
        <f>U98</f>
        <v>8.0950000000000006</v>
      </c>
      <c r="F23" s="86">
        <f>'Inputs&amp;OutputSummary'!$C$9*HouseholdLoadProfiles!C23+'Inputs&amp;OutputSummary'!$C$10*HouseholdLoadProfiles!D23+'Inputs&amp;OutputSummary'!$C$11*HouseholdLoadProfiles!E23</f>
        <v>23.924273999999997</v>
      </c>
      <c r="G23" s="21"/>
    </row>
    <row r="24" spans="2:13" ht="14.45" x14ac:dyDescent="0.3">
      <c r="B24" s="57">
        <v>0.79166666666666696</v>
      </c>
      <c r="C24" s="154">
        <f>V72</f>
        <v>75.87</v>
      </c>
      <c r="D24" s="148">
        <f>V85</f>
        <v>40.29</v>
      </c>
      <c r="E24" s="148">
        <f>V98</f>
        <v>16.3</v>
      </c>
      <c r="F24" s="86">
        <f>'Inputs&amp;OutputSummary'!$C$9*HouseholdLoadProfiles!C24+'Inputs&amp;OutputSummary'!$C$10*HouseholdLoadProfiles!D24+'Inputs&amp;OutputSummary'!$C$11*HouseholdLoadProfiles!E24</f>
        <v>44.148917999999995</v>
      </c>
      <c r="G24" s="21"/>
    </row>
    <row r="25" spans="2:13" ht="14.45" x14ac:dyDescent="0.3">
      <c r="B25" s="57">
        <v>0.83333333333333304</v>
      </c>
      <c r="C25" s="154">
        <f>W72</f>
        <v>112.77</v>
      </c>
      <c r="D25" s="148">
        <f>W85</f>
        <v>60.54</v>
      </c>
      <c r="E25" s="148">
        <f>W98</f>
        <v>23.5</v>
      </c>
      <c r="F25" s="86">
        <f>'Inputs&amp;OutputSummary'!$C$9*HouseholdLoadProfiles!C25+'Inputs&amp;OutputSummary'!$C$10*HouseholdLoadProfiles!D25+'Inputs&amp;OutputSummary'!$C$11*HouseholdLoadProfiles!E25</f>
        <v>65.596772999999999</v>
      </c>
      <c r="G25" s="21"/>
    </row>
    <row r="26" spans="2:13" x14ac:dyDescent="0.25">
      <c r="B26" s="57">
        <v>0.875</v>
      </c>
      <c r="C26" s="154">
        <f>X72</f>
        <v>107.35</v>
      </c>
      <c r="D26" s="148">
        <f>X85</f>
        <v>56.11</v>
      </c>
      <c r="E26" s="148">
        <f>X98</f>
        <v>21.355</v>
      </c>
      <c r="F26" s="86">
        <f>'Inputs&amp;OutputSummary'!$C$9*HouseholdLoadProfiles!C26+'Inputs&amp;OutputSummary'!$C$10*HouseholdLoadProfiles!D26+'Inputs&amp;OutputSummary'!$C$11*HouseholdLoadProfiles!E26</f>
        <v>61.598839499999997</v>
      </c>
      <c r="G26" s="21"/>
    </row>
    <row r="27" spans="2:13" x14ac:dyDescent="0.25">
      <c r="B27" s="57">
        <v>0.91666666666666696</v>
      </c>
      <c r="C27" s="154">
        <f>Y72</f>
        <v>55.410000000000004</v>
      </c>
      <c r="D27" s="148">
        <f>Y85</f>
        <v>28.015000000000001</v>
      </c>
      <c r="E27" s="148">
        <f>Y98</f>
        <v>11.21</v>
      </c>
      <c r="F27" s="86">
        <f>'Inputs&amp;OutputSummary'!$C$9*HouseholdLoadProfiles!C27+'Inputs&amp;OutputSummary'!$C$10*HouseholdLoadProfiles!D27+'Inputs&amp;OutputSummary'!$C$11*HouseholdLoadProfiles!E27</f>
        <v>31.541845500000001</v>
      </c>
      <c r="G27" s="21"/>
    </row>
    <row r="28" spans="2:13" ht="15.75" thickBot="1" x14ac:dyDescent="0.3">
      <c r="B28" s="58">
        <v>0.95833333333333304</v>
      </c>
      <c r="C28" s="155">
        <f>Z72</f>
        <v>15.25</v>
      </c>
      <c r="D28" s="150">
        <f>Z85</f>
        <v>6.5</v>
      </c>
      <c r="E28" s="150">
        <f>Z98</f>
        <v>2.75</v>
      </c>
      <c r="F28" s="86">
        <f>'Inputs&amp;OutputSummary'!$C$9*HouseholdLoadProfiles!C28+'Inputs&amp;OutputSummary'!$C$10*HouseholdLoadProfiles!D28+'Inputs&amp;OutputSummary'!$C$11*HouseholdLoadProfiles!E28</f>
        <v>8.1658499999999989</v>
      </c>
      <c r="G28" s="21"/>
    </row>
    <row r="29" spans="2:13" x14ac:dyDescent="0.25">
      <c r="B29" s="162" t="s">
        <v>102</v>
      </c>
      <c r="C29" s="156">
        <f>SUM(C5:C28)</f>
        <v>706.98</v>
      </c>
      <c r="D29" s="157">
        <f>SUM(D5:D28)</f>
        <v>301.64999999999998</v>
      </c>
      <c r="E29" s="157">
        <f>SUM(E5:E28)</f>
        <v>106.52000000000001</v>
      </c>
      <c r="F29" s="158">
        <f>SUM(F5:F28)</f>
        <v>371.67949499999997</v>
      </c>
    </row>
    <row r="30" spans="2:13" ht="15.75" thickBot="1" x14ac:dyDescent="0.3">
      <c r="B30" s="163" t="s">
        <v>103</v>
      </c>
      <c r="C30" s="159">
        <f>365*(C29)/1000</f>
        <v>258.04770000000002</v>
      </c>
      <c r="D30" s="160">
        <f>365*(D29)/1000</f>
        <v>110.10224999999998</v>
      </c>
      <c r="E30" s="160">
        <f>365*(E29)/1000</f>
        <v>38.879800000000003</v>
      </c>
      <c r="F30" s="161">
        <f>365*(F29)/1000</f>
        <v>135.663015675</v>
      </c>
    </row>
    <row r="31" spans="2:13" s="145" customFormat="1" x14ac:dyDescent="0.25">
      <c r="B31" s="17"/>
    </row>
    <row r="32" spans="2:13" ht="24" thickBot="1" x14ac:dyDescent="0.4">
      <c r="B32" s="35" t="s">
        <v>61</v>
      </c>
      <c r="H32" s="35" t="s">
        <v>105</v>
      </c>
      <c r="M32" s="35" t="s">
        <v>60</v>
      </c>
    </row>
    <row r="33" spans="2:43" s="36" customFormat="1" ht="32.25" x14ac:dyDescent="0.25">
      <c r="B33" s="34"/>
      <c r="C33" s="61" t="s">
        <v>66</v>
      </c>
      <c r="D33" s="49" t="s">
        <v>98</v>
      </c>
      <c r="E33" s="49" t="s">
        <v>112</v>
      </c>
      <c r="F33" s="50" t="s">
        <v>99</v>
      </c>
      <c r="H33" s="34"/>
      <c r="I33" s="61" t="s">
        <v>108</v>
      </c>
      <c r="J33" s="49" t="s">
        <v>113</v>
      </c>
      <c r="K33" s="50" t="s">
        <v>109</v>
      </c>
      <c r="L33" s="16"/>
      <c r="M33" s="34"/>
      <c r="N33" s="61" t="s">
        <v>98</v>
      </c>
      <c r="O33" s="49" t="s">
        <v>112</v>
      </c>
      <c r="P33" s="50" t="s">
        <v>99</v>
      </c>
      <c r="AM33" s="16"/>
      <c r="AN33" s="16"/>
      <c r="AO33" s="16"/>
      <c r="AP33" s="16"/>
      <c r="AQ33" s="16"/>
    </row>
    <row r="34" spans="2:43" s="37" customFormat="1" ht="54.6" customHeight="1" thickBot="1" x14ac:dyDescent="0.3">
      <c r="B34" s="62"/>
      <c r="C34" s="63" t="s">
        <v>101</v>
      </c>
      <c r="D34" s="64" t="s">
        <v>57</v>
      </c>
      <c r="E34" s="64" t="s">
        <v>57</v>
      </c>
      <c r="F34" s="65" t="s">
        <v>57</v>
      </c>
      <c r="H34" s="62"/>
      <c r="I34" s="63" t="s">
        <v>58</v>
      </c>
      <c r="J34" s="64" t="s">
        <v>58</v>
      </c>
      <c r="K34" s="65" t="s">
        <v>58</v>
      </c>
      <c r="M34" s="62"/>
      <c r="N34" s="63" t="s">
        <v>59</v>
      </c>
      <c r="O34" s="64" t="s">
        <v>59</v>
      </c>
      <c r="P34" s="65" t="s">
        <v>59</v>
      </c>
      <c r="AQ34" s="38"/>
    </row>
    <row r="35" spans="2:43" ht="15.75" thickBot="1" x14ac:dyDescent="0.3">
      <c r="B35" s="68" t="s">
        <v>7</v>
      </c>
      <c r="C35" s="66"/>
      <c r="D35" s="66"/>
      <c r="E35" s="66"/>
      <c r="F35" s="67"/>
      <c r="H35" s="68" t="s">
        <v>7</v>
      </c>
      <c r="I35" s="66"/>
      <c r="J35" s="66"/>
      <c r="K35" s="80"/>
      <c r="M35" s="68" t="s">
        <v>7</v>
      </c>
      <c r="N35" s="66"/>
      <c r="O35" s="66"/>
      <c r="P35" s="80"/>
      <c r="AQ35" s="39"/>
    </row>
    <row r="36" spans="2:43" x14ac:dyDescent="0.25">
      <c r="B36" s="71" t="s">
        <v>6</v>
      </c>
      <c r="C36" s="60">
        <v>9</v>
      </c>
      <c r="D36" s="60">
        <v>3</v>
      </c>
      <c r="E36" s="60">
        <v>2</v>
      </c>
      <c r="F36" s="72">
        <v>1</v>
      </c>
      <c r="H36" s="71" t="s">
        <v>6</v>
      </c>
      <c r="I36" s="137">
        <v>1</v>
      </c>
      <c r="J36" s="137">
        <v>1</v>
      </c>
      <c r="K36" s="138">
        <v>1</v>
      </c>
      <c r="M36" s="71" t="s">
        <v>6</v>
      </c>
      <c r="N36" s="60">
        <f t="shared" ref="N36:P38" si="0">D36*I36</f>
        <v>3</v>
      </c>
      <c r="O36" s="60">
        <f t="shared" si="0"/>
        <v>2</v>
      </c>
      <c r="P36" s="72">
        <f t="shared" si="0"/>
        <v>1</v>
      </c>
      <c r="AQ36" s="42"/>
    </row>
    <row r="37" spans="2:43" x14ac:dyDescent="0.25">
      <c r="B37" s="73" t="s">
        <v>9</v>
      </c>
      <c r="C37" s="40">
        <v>8</v>
      </c>
      <c r="D37" s="40">
        <v>3</v>
      </c>
      <c r="E37" s="40">
        <v>2</v>
      </c>
      <c r="F37" s="74">
        <v>1</v>
      </c>
      <c r="H37" s="73" t="s">
        <v>9</v>
      </c>
      <c r="I37" s="139">
        <v>0.63</v>
      </c>
      <c r="J37" s="139">
        <v>0.55000000000000004</v>
      </c>
      <c r="K37" s="140">
        <v>0.41</v>
      </c>
      <c r="M37" s="73" t="s">
        <v>9</v>
      </c>
      <c r="N37" s="40">
        <f t="shared" si="0"/>
        <v>1.8900000000000001</v>
      </c>
      <c r="O37" s="40">
        <f t="shared" si="0"/>
        <v>1.1000000000000001</v>
      </c>
      <c r="P37" s="74">
        <f t="shared" si="0"/>
        <v>0.41</v>
      </c>
      <c r="AQ37" s="42"/>
    </row>
    <row r="38" spans="2:43" ht="15.75" thickBot="1" x14ac:dyDescent="0.3">
      <c r="B38" s="75" t="s">
        <v>4</v>
      </c>
      <c r="C38" s="69">
        <v>15</v>
      </c>
      <c r="D38" s="69">
        <v>1</v>
      </c>
      <c r="E38" s="69">
        <v>1</v>
      </c>
      <c r="F38" s="76">
        <v>1</v>
      </c>
      <c r="H38" s="75" t="s">
        <v>4</v>
      </c>
      <c r="I38" s="141">
        <v>0.76</v>
      </c>
      <c r="J38" s="141">
        <v>0.15</v>
      </c>
      <c r="K38" s="142">
        <v>0.03</v>
      </c>
      <c r="M38" s="75" t="s">
        <v>4</v>
      </c>
      <c r="N38" s="69">
        <f t="shared" si="0"/>
        <v>0.76</v>
      </c>
      <c r="O38" s="69">
        <f t="shared" si="0"/>
        <v>0.15</v>
      </c>
      <c r="P38" s="76">
        <f t="shared" si="0"/>
        <v>0.03</v>
      </c>
      <c r="AQ38" s="42"/>
    </row>
    <row r="39" spans="2:43" ht="15.75" thickBot="1" x14ac:dyDescent="0.3">
      <c r="B39" s="2" t="s">
        <v>8</v>
      </c>
      <c r="C39" s="3"/>
      <c r="D39" s="3"/>
      <c r="E39" s="3"/>
      <c r="F39" s="70"/>
      <c r="H39" s="2" t="s">
        <v>8</v>
      </c>
      <c r="I39" s="3"/>
      <c r="J39" s="3"/>
      <c r="K39" s="4"/>
      <c r="M39" s="2" t="s">
        <v>8</v>
      </c>
      <c r="N39" s="3"/>
      <c r="O39" s="3"/>
      <c r="P39" s="4"/>
      <c r="AQ39" s="42"/>
    </row>
    <row r="40" spans="2:43" x14ac:dyDescent="0.25">
      <c r="B40" s="41" t="s">
        <v>0</v>
      </c>
      <c r="C40" s="60">
        <v>150</v>
      </c>
      <c r="D40" s="60">
        <v>1</v>
      </c>
      <c r="E40" s="60">
        <v>1</v>
      </c>
      <c r="F40" s="72">
        <v>1</v>
      </c>
      <c r="H40" s="41" t="s">
        <v>0</v>
      </c>
      <c r="I40" s="137">
        <v>0.82</v>
      </c>
      <c r="J40" s="137">
        <v>0.45</v>
      </c>
      <c r="K40" s="138">
        <v>0.16</v>
      </c>
      <c r="M40" s="41" t="s">
        <v>0</v>
      </c>
      <c r="N40" s="60">
        <f t="shared" ref="N40:P43" si="1">D40*I40</f>
        <v>0.82</v>
      </c>
      <c r="O40" s="60">
        <f t="shared" si="1"/>
        <v>0.45</v>
      </c>
      <c r="P40" s="72">
        <f t="shared" si="1"/>
        <v>0.16</v>
      </c>
      <c r="AQ40" s="42"/>
    </row>
    <row r="41" spans="2:43" x14ac:dyDescent="0.25">
      <c r="B41" s="77" t="s">
        <v>1</v>
      </c>
      <c r="C41" s="40">
        <v>35</v>
      </c>
      <c r="D41" s="40">
        <v>1</v>
      </c>
      <c r="E41" s="40">
        <v>1</v>
      </c>
      <c r="F41" s="74">
        <v>1</v>
      </c>
      <c r="H41" s="77" t="s">
        <v>1</v>
      </c>
      <c r="I41" s="139">
        <v>0.38</v>
      </c>
      <c r="J41" s="139">
        <v>0.02</v>
      </c>
      <c r="K41" s="140">
        <v>0.03</v>
      </c>
      <c r="M41" s="77" t="s">
        <v>1</v>
      </c>
      <c r="N41" s="40">
        <f t="shared" si="1"/>
        <v>0.38</v>
      </c>
      <c r="O41" s="40">
        <f t="shared" si="1"/>
        <v>0.02</v>
      </c>
      <c r="P41" s="74">
        <f t="shared" si="1"/>
        <v>0.03</v>
      </c>
      <c r="AQ41" s="42"/>
    </row>
    <row r="42" spans="2:43" x14ac:dyDescent="0.25">
      <c r="B42" s="77" t="s">
        <v>2</v>
      </c>
      <c r="C42" s="40">
        <v>1000</v>
      </c>
      <c r="D42" s="40">
        <v>1</v>
      </c>
      <c r="E42" s="40">
        <v>1</v>
      </c>
      <c r="F42" s="74">
        <v>1</v>
      </c>
      <c r="H42" s="77" t="s">
        <v>2</v>
      </c>
      <c r="I42" s="139">
        <v>0.34</v>
      </c>
      <c r="J42" s="139">
        <v>0.11</v>
      </c>
      <c r="K42" s="140">
        <v>0.02</v>
      </c>
      <c r="M42" s="77" t="s">
        <v>2</v>
      </c>
      <c r="N42" s="40">
        <f t="shared" si="1"/>
        <v>0.34</v>
      </c>
      <c r="O42" s="40">
        <f t="shared" si="1"/>
        <v>0.11</v>
      </c>
      <c r="P42" s="74">
        <f t="shared" si="1"/>
        <v>0.02</v>
      </c>
      <c r="AQ42" s="42"/>
    </row>
    <row r="43" spans="2:43" ht="18" thickBot="1" x14ac:dyDescent="0.3">
      <c r="B43" s="78" t="s">
        <v>104</v>
      </c>
      <c r="C43" s="44">
        <v>50</v>
      </c>
      <c r="D43" s="44">
        <v>1</v>
      </c>
      <c r="E43" s="44">
        <v>1</v>
      </c>
      <c r="F43" s="79">
        <v>1</v>
      </c>
      <c r="H43" s="78" t="s">
        <v>3</v>
      </c>
      <c r="I43" s="143">
        <v>0.17</v>
      </c>
      <c r="J43" s="143">
        <v>0.04</v>
      </c>
      <c r="K43" s="144">
        <v>0.01</v>
      </c>
      <c r="M43" s="78" t="s">
        <v>3</v>
      </c>
      <c r="N43" s="44">
        <f t="shared" si="1"/>
        <v>0.17</v>
      </c>
      <c r="O43" s="44">
        <f t="shared" si="1"/>
        <v>0.04</v>
      </c>
      <c r="P43" s="79">
        <f t="shared" si="1"/>
        <v>0.01</v>
      </c>
      <c r="AQ43" s="42"/>
    </row>
    <row r="44" spans="2:43" ht="15.75" x14ac:dyDescent="0.25">
      <c r="B44" s="165" t="s">
        <v>107</v>
      </c>
      <c r="C44" s="5"/>
      <c r="D44" s="5"/>
      <c r="E44" s="5"/>
      <c r="F44" s="5"/>
      <c r="H44" s="164" t="s">
        <v>106</v>
      </c>
      <c r="I44" s="43"/>
      <c r="J44" s="43"/>
      <c r="K44" s="43"/>
      <c r="M44" s="5"/>
      <c r="N44" s="5"/>
      <c r="O44" s="5"/>
      <c r="P44" s="5"/>
      <c r="AQ44" s="42"/>
    </row>
    <row r="45" spans="2:43" ht="15.75" x14ac:dyDescent="0.25">
      <c r="H45" s="165" t="s">
        <v>110</v>
      </c>
      <c r="I45" s="43"/>
      <c r="J45" s="43"/>
      <c r="K45" s="43"/>
    </row>
    <row r="46" spans="2:43" ht="15.75" x14ac:dyDescent="0.25">
      <c r="E46" s="5"/>
      <c r="H46" s="165" t="s">
        <v>111</v>
      </c>
      <c r="I46" s="43"/>
      <c r="J46" s="43"/>
      <c r="K46" s="43"/>
    </row>
    <row r="47" spans="2:43" ht="15.75" x14ac:dyDescent="0.25">
      <c r="E47" s="5"/>
      <c r="H47" s="165" t="s">
        <v>114</v>
      </c>
      <c r="I47" s="43"/>
      <c r="J47" s="43"/>
      <c r="K47" s="43"/>
    </row>
    <row r="48" spans="2:43" x14ac:dyDescent="0.25">
      <c r="H48" s="5"/>
      <c r="I48" s="43"/>
      <c r="J48" s="43"/>
      <c r="K48" s="43"/>
    </row>
    <row r="49" spans="2:38" ht="21.75" thickBot="1" x14ac:dyDescent="0.4">
      <c r="B49" s="35" t="s">
        <v>62</v>
      </c>
      <c r="AB49" s="36"/>
      <c r="AC49" s="36"/>
    </row>
    <row r="50" spans="2:38" ht="15.75" thickBot="1" x14ac:dyDescent="0.3">
      <c r="B50" s="83"/>
      <c r="C50" s="84">
        <v>0</v>
      </c>
      <c r="D50" s="84">
        <v>4.1666666666666699E-2</v>
      </c>
      <c r="E50" s="84">
        <v>8.3333333333333301E-2</v>
      </c>
      <c r="F50" s="84">
        <v>0.125</v>
      </c>
      <c r="G50" s="84">
        <v>0.16666666666666699</v>
      </c>
      <c r="H50" s="84">
        <v>0.20833333333333301</v>
      </c>
      <c r="I50" s="84">
        <v>0.25</v>
      </c>
      <c r="J50" s="84">
        <v>0.29166666666666702</v>
      </c>
      <c r="K50" s="84">
        <v>0.33333333333333298</v>
      </c>
      <c r="L50" s="84">
        <v>0.375</v>
      </c>
      <c r="M50" s="84">
        <v>0.41666666666666702</v>
      </c>
      <c r="N50" s="84">
        <v>0.45833333333333298</v>
      </c>
      <c r="O50" s="84">
        <v>0.5</v>
      </c>
      <c r="P50" s="84">
        <v>0.54166666666666696</v>
      </c>
      <c r="Q50" s="84">
        <v>0.58333333333333304</v>
      </c>
      <c r="R50" s="84">
        <v>0.625</v>
      </c>
      <c r="S50" s="84">
        <v>0.66666666666666696</v>
      </c>
      <c r="T50" s="84">
        <v>0.70833333333333304</v>
      </c>
      <c r="U50" s="84">
        <v>0.75</v>
      </c>
      <c r="V50" s="84">
        <v>0.79166666666666696</v>
      </c>
      <c r="W50" s="84">
        <v>0.83333333333333304</v>
      </c>
      <c r="X50" s="84">
        <v>0.875</v>
      </c>
      <c r="Y50" s="84">
        <v>0.91666666666666696</v>
      </c>
      <c r="Z50" s="84">
        <v>0.95833333333333304</v>
      </c>
      <c r="AA50" s="85" t="s">
        <v>63</v>
      </c>
    </row>
    <row r="51" spans="2:38" ht="15.75" thickBot="1" x14ac:dyDescent="0.3">
      <c r="B51" s="68" t="s">
        <v>7</v>
      </c>
      <c r="C51" s="66"/>
      <c r="D51" s="66"/>
      <c r="E51" s="66"/>
      <c r="F51" s="66"/>
      <c r="G51" s="66"/>
      <c r="H51" s="66"/>
      <c r="I51" s="66"/>
      <c r="J51" s="66"/>
      <c r="K51" s="66"/>
      <c r="L51" s="66"/>
      <c r="M51" s="66"/>
      <c r="N51" s="66"/>
      <c r="O51" s="66"/>
      <c r="P51" s="66"/>
      <c r="Q51" s="66"/>
      <c r="R51" s="66"/>
      <c r="S51" s="66"/>
      <c r="T51" s="66"/>
      <c r="U51" s="66"/>
      <c r="V51" s="66"/>
      <c r="W51" s="66"/>
      <c r="X51" s="66"/>
      <c r="Y51" s="66"/>
      <c r="Z51" s="66"/>
      <c r="AA51" s="80"/>
    </row>
    <row r="52" spans="2:38" x14ac:dyDescent="0.25">
      <c r="B52" s="71" t="s">
        <v>6</v>
      </c>
      <c r="C52" s="60">
        <v>0</v>
      </c>
      <c r="D52" s="60">
        <v>0</v>
      </c>
      <c r="E52" s="60">
        <v>0</v>
      </c>
      <c r="F52" s="60">
        <v>0</v>
      </c>
      <c r="G52" s="60">
        <v>0</v>
      </c>
      <c r="H52" s="60">
        <v>0</v>
      </c>
      <c r="I52" s="60">
        <v>0</v>
      </c>
      <c r="J52" s="60">
        <v>0</v>
      </c>
      <c r="K52" s="60">
        <v>0</v>
      </c>
      <c r="L52" s="60">
        <v>0</v>
      </c>
      <c r="M52" s="60">
        <v>0</v>
      </c>
      <c r="N52" s="60">
        <v>0</v>
      </c>
      <c r="O52" s="60">
        <v>0</v>
      </c>
      <c r="P52" s="60">
        <v>0</v>
      </c>
      <c r="Q52" s="60">
        <v>0</v>
      </c>
      <c r="R52" s="60">
        <v>0</v>
      </c>
      <c r="S52" s="60">
        <v>0</v>
      </c>
      <c r="T52" s="60">
        <v>0</v>
      </c>
      <c r="U52" s="60">
        <v>0.25</v>
      </c>
      <c r="V52" s="60">
        <v>0.75</v>
      </c>
      <c r="W52" s="60">
        <v>0.75</v>
      </c>
      <c r="X52" s="60">
        <v>0.5</v>
      </c>
      <c r="Y52" s="60">
        <v>0.5</v>
      </c>
      <c r="Z52" s="60">
        <v>0.25</v>
      </c>
      <c r="AA52" s="86">
        <f>SUM(C52:Z52)</f>
        <v>3</v>
      </c>
    </row>
    <row r="53" spans="2:38" x14ac:dyDescent="0.25">
      <c r="B53" s="73" t="s">
        <v>9</v>
      </c>
      <c r="C53" s="40">
        <v>0</v>
      </c>
      <c r="D53" s="40">
        <v>0</v>
      </c>
      <c r="E53" s="40">
        <v>0</v>
      </c>
      <c r="F53" s="40">
        <v>0</v>
      </c>
      <c r="G53" s="40">
        <v>0</v>
      </c>
      <c r="H53" s="40">
        <v>0</v>
      </c>
      <c r="I53" s="40">
        <v>0.1</v>
      </c>
      <c r="J53" s="40">
        <v>0.1</v>
      </c>
      <c r="K53" s="40">
        <v>0.1</v>
      </c>
      <c r="L53" s="40">
        <v>0.1</v>
      </c>
      <c r="M53" s="40">
        <v>0.1</v>
      </c>
      <c r="N53" s="40">
        <v>0.25</v>
      </c>
      <c r="O53" s="40">
        <v>0.25</v>
      </c>
      <c r="P53" s="40">
        <v>0.25</v>
      </c>
      <c r="Q53" s="40">
        <v>0.25</v>
      </c>
      <c r="R53" s="40">
        <v>0</v>
      </c>
      <c r="S53" s="40">
        <v>0</v>
      </c>
      <c r="T53" s="40">
        <v>0.5</v>
      </c>
      <c r="U53" s="40">
        <v>0.5</v>
      </c>
      <c r="V53" s="40">
        <v>0.5</v>
      </c>
      <c r="W53" s="40">
        <v>0.5</v>
      </c>
      <c r="X53" s="40">
        <v>0.5</v>
      </c>
      <c r="Y53" s="40">
        <v>0</v>
      </c>
      <c r="Z53" s="40">
        <v>0</v>
      </c>
      <c r="AA53" s="81">
        <f t="shared" ref="AA53:AA59" si="2">SUM(C53:Z53)</f>
        <v>4</v>
      </c>
    </row>
    <row r="54" spans="2:38" ht="15.75" thickBot="1" x14ac:dyDescent="0.3">
      <c r="B54" s="73" t="s">
        <v>4</v>
      </c>
      <c r="C54" s="40">
        <v>0</v>
      </c>
      <c r="D54" s="40">
        <v>0</v>
      </c>
      <c r="E54" s="40">
        <v>0</v>
      </c>
      <c r="F54" s="40">
        <v>0</v>
      </c>
      <c r="G54" s="40">
        <v>0</v>
      </c>
      <c r="H54" s="40">
        <v>0</v>
      </c>
      <c r="I54" s="40">
        <v>0</v>
      </c>
      <c r="J54" s="40">
        <v>0</v>
      </c>
      <c r="K54" s="40">
        <v>0.25</v>
      </c>
      <c r="L54" s="40">
        <v>0.25</v>
      </c>
      <c r="M54" s="40">
        <v>0.25</v>
      </c>
      <c r="N54" s="40">
        <v>0.25</v>
      </c>
      <c r="O54" s="40">
        <v>0.5</v>
      </c>
      <c r="P54" s="40">
        <v>0.5</v>
      </c>
      <c r="Q54" s="40">
        <v>0.5</v>
      </c>
      <c r="R54" s="40">
        <v>0.25</v>
      </c>
      <c r="S54" s="40">
        <v>0.25</v>
      </c>
      <c r="T54" s="40">
        <v>0</v>
      </c>
      <c r="U54" s="40">
        <v>0</v>
      </c>
      <c r="V54" s="40">
        <v>0</v>
      </c>
      <c r="W54" s="40">
        <v>0</v>
      </c>
      <c r="X54" s="40">
        <v>0</v>
      </c>
      <c r="Y54" s="40">
        <v>0</v>
      </c>
      <c r="Z54" s="40">
        <v>0</v>
      </c>
      <c r="AA54" s="81">
        <f t="shared" si="2"/>
        <v>3</v>
      </c>
    </row>
    <row r="55" spans="2:38" ht="15.75" thickBot="1" x14ac:dyDescent="0.3">
      <c r="B55" s="87" t="s">
        <v>8</v>
      </c>
      <c r="C55" s="3"/>
      <c r="D55" s="3"/>
      <c r="E55" s="3"/>
      <c r="F55" s="3"/>
      <c r="G55" s="3"/>
      <c r="H55" s="3"/>
      <c r="I55" s="3"/>
      <c r="J55" s="3"/>
      <c r="K55" s="3"/>
      <c r="L55" s="3"/>
      <c r="M55" s="3"/>
      <c r="N55" s="3"/>
      <c r="O55" s="3"/>
      <c r="P55" s="3"/>
      <c r="Q55" s="3"/>
      <c r="R55" s="3"/>
      <c r="S55" s="3"/>
      <c r="T55" s="3"/>
      <c r="U55" s="3"/>
      <c r="V55" s="3"/>
      <c r="W55" s="3"/>
      <c r="X55" s="3"/>
      <c r="Y55" s="3"/>
      <c r="Z55" s="3"/>
      <c r="AA55" s="4"/>
    </row>
    <row r="56" spans="2:38" x14ac:dyDescent="0.25">
      <c r="B56" s="77" t="s">
        <v>0</v>
      </c>
      <c r="C56" s="40">
        <v>0</v>
      </c>
      <c r="D56" s="40">
        <v>0</v>
      </c>
      <c r="E56" s="40">
        <v>0</v>
      </c>
      <c r="F56" s="40">
        <v>0</v>
      </c>
      <c r="G56" s="40">
        <v>0</v>
      </c>
      <c r="H56" s="40">
        <v>0</v>
      </c>
      <c r="I56" s="40">
        <v>0</v>
      </c>
      <c r="J56" s="40">
        <v>0</v>
      </c>
      <c r="K56" s="40">
        <v>0</v>
      </c>
      <c r="L56" s="40">
        <v>0</v>
      </c>
      <c r="M56" s="40">
        <v>0</v>
      </c>
      <c r="N56" s="40">
        <v>0</v>
      </c>
      <c r="O56" s="40">
        <v>0</v>
      </c>
      <c r="P56" s="40">
        <v>0</v>
      </c>
      <c r="Q56" s="40">
        <v>0</v>
      </c>
      <c r="R56" s="40">
        <v>0</v>
      </c>
      <c r="S56" s="40">
        <v>0</v>
      </c>
      <c r="T56" s="40">
        <v>0.1</v>
      </c>
      <c r="U56" s="40">
        <v>0.15</v>
      </c>
      <c r="V56" s="40">
        <v>0.3</v>
      </c>
      <c r="W56" s="40">
        <v>0.6</v>
      </c>
      <c r="X56" s="40">
        <v>0.6</v>
      </c>
      <c r="Y56" s="40">
        <v>0.25</v>
      </c>
      <c r="Z56" s="40">
        <v>0</v>
      </c>
      <c r="AA56" s="81">
        <f t="shared" si="2"/>
        <v>2</v>
      </c>
    </row>
    <row r="57" spans="2:38" x14ac:dyDescent="0.25">
      <c r="B57" s="77" t="s">
        <v>1</v>
      </c>
      <c r="C57" s="40">
        <v>0</v>
      </c>
      <c r="D57" s="40">
        <v>0</v>
      </c>
      <c r="E57" s="40">
        <v>0</v>
      </c>
      <c r="F57" s="40">
        <v>0</v>
      </c>
      <c r="G57" s="40">
        <v>0</v>
      </c>
      <c r="H57" s="40">
        <v>0</v>
      </c>
      <c r="I57" s="40">
        <v>0</v>
      </c>
      <c r="J57" s="40">
        <v>0</v>
      </c>
      <c r="K57" s="40">
        <v>0</v>
      </c>
      <c r="L57" s="40">
        <v>0</v>
      </c>
      <c r="M57" s="40">
        <v>0</v>
      </c>
      <c r="N57" s="40">
        <v>0</v>
      </c>
      <c r="O57" s="40">
        <v>0</v>
      </c>
      <c r="P57" s="40">
        <v>0</v>
      </c>
      <c r="Q57" s="40">
        <v>0</v>
      </c>
      <c r="R57" s="40">
        <v>0</v>
      </c>
      <c r="S57" s="40">
        <v>0</v>
      </c>
      <c r="T57" s="40">
        <v>0</v>
      </c>
      <c r="U57" s="40">
        <v>0.1</v>
      </c>
      <c r="V57" s="40">
        <v>0.2</v>
      </c>
      <c r="W57" s="40">
        <v>0.2</v>
      </c>
      <c r="X57" s="40">
        <v>0.3</v>
      </c>
      <c r="Y57" s="40">
        <v>0.2</v>
      </c>
      <c r="Z57" s="40">
        <v>0</v>
      </c>
      <c r="AA57" s="81">
        <f t="shared" si="2"/>
        <v>1</v>
      </c>
    </row>
    <row r="58" spans="2:38" x14ac:dyDescent="0.25">
      <c r="B58" s="77" t="s">
        <v>2</v>
      </c>
      <c r="C58" s="40">
        <v>0</v>
      </c>
      <c r="D58" s="40">
        <v>0</v>
      </c>
      <c r="E58" s="40">
        <v>0</v>
      </c>
      <c r="F58" s="40">
        <v>0</v>
      </c>
      <c r="G58" s="40">
        <v>0</v>
      </c>
      <c r="H58" s="40">
        <v>0</v>
      </c>
      <c r="I58" s="40">
        <v>0</v>
      </c>
      <c r="J58" s="40">
        <v>0</v>
      </c>
      <c r="K58" s="40">
        <v>0.05</v>
      </c>
      <c r="L58" s="40">
        <v>0.05</v>
      </c>
      <c r="M58" s="40">
        <v>0.05</v>
      </c>
      <c r="N58" s="40">
        <v>0.05</v>
      </c>
      <c r="O58" s="40">
        <v>0</v>
      </c>
      <c r="P58" s="40">
        <v>0</v>
      </c>
      <c r="Q58" s="40">
        <v>0</v>
      </c>
      <c r="R58" s="40">
        <v>0</v>
      </c>
      <c r="S58" s="40">
        <v>0</v>
      </c>
      <c r="T58" s="40">
        <v>0</v>
      </c>
      <c r="U58" s="40">
        <v>0</v>
      </c>
      <c r="V58" s="40">
        <v>0</v>
      </c>
      <c r="W58" s="40">
        <v>0</v>
      </c>
      <c r="X58" s="40">
        <v>0</v>
      </c>
      <c r="Y58" s="40">
        <v>0</v>
      </c>
      <c r="Z58" s="40">
        <v>0</v>
      </c>
      <c r="AA58" s="81">
        <f t="shared" si="2"/>
        <v>0.2</v>
      </c>
    </row>
    <row r="59" spans="2:38" ht="15.75" thickBot="1" x14ac:dyDescent="0.3">
      <c r="B59" s="78" t="s">
        <v>3</v>
      </c>
      <c r="C59" s="44">
        <v>1</v>
      </c>
      <c r="D59" s="44">
        <v>1</v>
      </c>
      <c r="E59" s="44">
        <v>1</v>
      </c>
      <c r="F59" s="44">
        <v>1</v>
      </c>
      <c r="G59" s="44">
        <v>1</v>
      </c>
      <c r="H59" s="44">
        <v>1</v>
      </c>
      <c r="I59" s="44">
        <v>1</v>
      </c>
      <c r="J59" s="44">
        <v>1</v>
      </c>
      <c r="K59" s="44">
        <v>1</v>
      </c>
      <c r="L59" s="44">
        <v>1</v>
      </c>
      <c r="M59" s="44">
        <v>1</v>
      </c>
      <c r="N59" s="44">
        <v>1</v>
      </c>
      <c r="O59" s="44">
        <v>1</v>
      </c>
      <c r="P59" s="44">
        <v>1</v>
      </c>
      <c r="Q59" s="44">
        <v>1</v>
      </c>
      <c r="R59" s="44">
        <v>1</v>
      </c>
      <c r="S59" s="44">
        <v>1</v>
      </c>
      <c r="T59" s="44">
        <v>1</v>
      </c>
      <c r="U59" s="44">
        <v>1</v>
      </c>
      <c r="V59" s="44">
        <v>1</v>
      </c>
      <c r="W59" s="44">
        <v>1</v>
      </c>
      <c r="X59" s="44">
        <v>1</v>
      </c>
      <c r="Y59" s="44">
        <v>1</v>
      </c>
      <c r="Z59" s="44">
        <v>1</v>
      </c>
      <c r="AA59" s="82">
        <f t="shared" si="2"/>
        <v>24</v>
      </c>
    </row>
    <row r="60" spans="2:38" x14ac:dyDescent="0.25">
      <c r="D60" s="43"/>
      <c r="E60" s="43"/>
      <c r="F60" s="43"/>
    </row>
    <row r="61" spans="2:38" ht="21.75" thickBot="1" x14ac:dyDescent="0.4">
      <c r="B61" s="35" t="s">
        <v>95</v>
      </c>
      <c r="AL61" s="5"/>
    </row>
    <row r="62" spans="2:38" ht="15.75" thickBot="1" x14ac:dyDescent="0.3">
      <c r="B62" s="83"/>
      <c r="C62" s="84">
        <v>0</v>
      </c>
      <c r="D62" s="84">
        <v>4.1666666666666699E-2</v>
      </c>
      <c r="E62" s="84">
        <v>8.3333333333333301E-2</v>
      </c>
      <c r="F62" s="84">
        <v>0.125</v>
      </c>
      <c r="G62" s="84">
        <v>0.16666666666666699</v>
      </c>
      <c r="H62" s="84">
        <v>0.20833333333333301</v>
      </c>
      <c r="I62" s="84">
        <v>0.25</v>
      </c>
      <c r="J62" s="84">
        <v>0.29166666666666702</v>
      </c>
      <c r="K62" s="84">
        <v>0.33333333333333298</v>
      </c>
      <c r="L62" s="84">
        <v>0.375</v>
      </c>
      <c r="M62" s="84">
        <v>0.41666666666666702</v>
      </c>
      <c r="N62" s="84">
        <v>0.45833333333333298</v>
      </c>
      <c r="O62" s="84">
        <v>0.5</v>
      </c>
      <c r="P62" s="84">
        <v>0.54166666666666696</v>
      </c>
      <c r="Q62" s="84">
        <v>0.58333333333333304</v>
      </c>
      <c r="R62" s="84">
        <v>0.625</v>
      </c>
      <c r="S62" s="84">
        <v>0.66666666666666696</v>
      </c>
      <c r="T62" s="84">
        <v>0.70833333333333304</v>
      </c>
      <c r="U62" s="84">
        <v>0.75</v>
      </c>
      <c r="V62" s="84">
        <v>0.79166666666666696</v>
      </c>
      <c r="W62" s="84">
        <v>0.83333333333333304</v>
      </c>
      <c r="X62" s="84">
        <v>0.875</v>
      </c>
      <c r="Y62" s="84">
        <v>0.91666666666666696</v>
      </c>
      <c r="Z62" s="84">
        <v>0.95833333333333304</v>
      </c>
      <c r="AA62" s="84" t="s">
        <v>52</v>
      </c>
      <c r="AB62" s="88" t="s">
        <v>53</v>
      </c>
      <c r="AC62" s="85" t="s">
        <v>64</v>
      </c>
    </row>
    <row r="63" spans="2:38" ht="15.75" thickBot="1" x14ac:dyDescent="0.3">
      <c r="B63" s="68" t="s">
        <v>7</v>
      </c>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80"/>
    </row>
    <row r="64" spans="2:38" x14ac:dyDescent="0.25">
      <c r="B64" s="71" t="s">
        <v>6</v>
      </c>
      <c r="C64" s="146">
        <f>(C52*$N$36*$C$36)</f>
        <v>0</v>
      </c>
      <c r="D64" s="146">
        <f t="shared" ref="D64:Z64" si="3">(D52*$N$36*$C$36)</f>
        <v>0</v>
      </c>
      <c r="E64" s="146">
        <f t="shared" si="3"/>
        <v>0</v>
      </c>
      <c r="F64" s="146">
        <f t="shared" si="3"/>
        <v>0</v>
      </c>
      <c r="G64" s="146">
        <f t="shared" si="3"/>
        <v>0</v>
      </c>
      <c r="H64" s="146">
        <f t="shared" si="3"/>
        <v>0</v>
      </c>
      <c r="I64" s="146">
        <f t="shared" si="3"/>
        <v>0</v>
      </c>
      <c r="J64" s="146">
        <f t="shared" si="3"/>
        <v>0</v>
      </c>
      <c r="K64" s="146">
        <f t="shared" si="3"/>
        <v>0</v>
      </c>
      <c r="L64" s="146">
        <f t="shared" si="3"/>
        <v>0</v>
      </c>
      <c r="M64" s="146">
        <f t="shared" si="3"/>
        <v>0</v>
      </c>
      <c r="N64" s="146">
        <f t="shared" si="3"/>
        <v>0</v>
      </c>
      <c r="O64" s="146">
        <f t="shared" si="3"/>
        <v>0</v>
      </c>
      <c r="P64" s="146">
        <f t="shared" si="3"/>
        <v>0</v>
      </c>
      <c r="Q64" s="146">
        <f t="shared" si="3"/>
        <v>0</v>
      </c>
      <c r="R64" s="146">
        <f t="shared" si="3"/>
        <v>0</v>
      </c>
      <c r="S64" s="146">
        <f t="shared" si="3"/>
        <v>0</v>
      </c>
      <c r="T64" s="146">
        <f t="shared" si="3"/>
        <v>0</v>
      </c>
      <c r="U64" s="146">
        <f t="shared" si="3"/>
        <v>6.75</v>
      </c>
      <c r="V64" s="146">
        <f t="shared" si="3"/>
        <v>20.25</v>
      </c>
      <c r="W64" s="146">
        <f t="shared" si="3"/>
        <v>20.25</v>
      </c>
      <c r="X64" s="146">
        <f t="shared" si="3"/>
        <v>13.5</v>
      </c>
      <c r="Y64" s="146">
        <f t="shared" si="3"/>
        <v>13.5</v>
      </c>
      <c r="Z64" s="146">
        <f t="shared" si="3"/>
        <v>6.75</v>
      </c>
      <c r="AA64" s="146">
        <f>SUM(C64:Z64)</f>
        <v>81</v>
      </c>
      <c r="AB64" s="51">
        <f>AA64/1000</f>
        <v>8.1000000000000003E-2</v>
      </c>
      <c r="AC64" s="86">
        <f>AB64*365</f>
        <v>29.565000000000001</v>
      </c>
    </row>
    <row r="65" spans="2:29" x14ac:dyDescent="0.25">
      <c r="B65" s="73" t="s">
        <v>9</v>
      </c>
      <c r="C65" s="148">
        <f>(C53*$N$37*$C$37)</f>
        <v>0</v>
      </c>
      <c r="D65" s="148">
        <f t="shared" ref="D65:Z65" si="4">(D53*$N$37*$C$37)</f>
        <v>0</v>
      </c>
      <c r="E65" s="148">
        <f t="shared" si="4"/>
        <v>0</v>
      </c>
      <c r="F65" s="148">
        <f t="shared" si="4"/>
        <v>0</v>
      </c>
      <c r="G65" s="148">
        <f t="shared" si="4"/>
        <v>0</v>
      </c>
      <c r="H65" s="148">
        <f t="shared" si="4"/>
        <v>0</v>
      </c>
      <c r="I65" s="148">
        <f t="shared" si="4"/>
        <v>1.5120000000000002</v>
      </c>
      <c r="J65" s="148">
        <f t="shared" si="4"/>
        <v>1.5120000000000002</v>
      </c>
      <c r="K65" s="148">
        <f t="shared" si="4"/>
        <v>1.5120000000000002</v>
      </c>
      <c r="L65" s="148">
        <f t="shared" si="4"/>
        <v>1.5120000000000002</v>
      </c>
      <c r="M65" s="148">
        <f t="shared" si="4"/>
        <v>1.5120000000000002</v>
      </c>
      <c r="N65" s="148">
        <f t="shared" si="4"/>
        <v>3.7800000000000002</v>
      </c>
      <c r="O65" s="148">
        <f t="shared" si="4"/>
        <v>3.7800000000000002</v>
      </c>
      <c r="P65" s="148">
        <f t="shared" si="4"/>
        <v>3.7800000000000002</v>
      </c>
      <c r="Q65" s="148">
        <f t="shared" si="4"/>
        <v>3.7800000000000002</v>
      </c>
      <c r="R65" s="148">
        <f t="shared" si="4"/>
        <v>0</v>
      </c>
      <c r="S65" s="148">
        <f t="shared" si="4"/>
        <v>0</v>
      </c>
      <c r="T65" s="148">
        <f t="shared" si="4"/>
        <v>7.5600000000000005</v>
      </c>
      <c r="U65" s="148">
        <f t="shared" si="4"/>
        <v>7.5600000000000005</v>
      </c>
      <c r="V65" s="148">
        <f t="shared" si="4"/>
        <v>7.5600000000000005</v>
      </c>
      <c r="W65" s="148">
        <f t="shared" si="4"/>
        <v>7.5600000000000005</v>
      </c>
      <c r="X65" s="148">
        <f t="shared" si="4"/>
        <v>7.5600000000000005</v>
      </c>
      <c r="Y65" s="148">
        <f t="shared" si="4"/>
        <v>0</v>
      </c>
      <c r="Z65" s="148">
        <f t="shared" si="4"/>
        <v>0</v>
      </c>
      <c r="AA65" s="146">
        <f>SUM(C65:Z65)</f>
        <v>60.480000000000011</v>
      </c>
      <c r="AB65" s="51">
        <f>AA65/1000</f>
        <v>6.0480000000000013E-2</v>
      </c>
      <c r="AC65" s="86">
        <f>AB65*365</f>
        <v>22.075200000000006</v>
      </c>
    </row>
    <row r="66" spans="2:29" ht="15.75" thickBot="1" x14ac:dyDescent="0.3">
      <c r="B66" s="73" t="s">
        <v>4</v>
      </c>
      <c r="C66" s="148">
        <f>(C54*$N$38*$C$38)</f>
        <v>0</v>
      </c>
      <c r="D66" s="148">
        <f t="shared" ref="D66:Z66" si="5">(D54*$N$38*$C$38)</f>
        <v>0</v>
      </c>
      <c r="E66" s="148">
        <f t="shared" si="5"/>
        <v>0</v>
      </c>
      <c r="F66" s="148">
        <f t="shared" si="5"/>
        <v>0</v>
      </c>
      <c r="G66" s="148">
        <f t="shared" si="5"/>
        <v>0</v>
      </c>
      <c r="H66" s="148">
        <f t="shared" si="5"/>
        <v>0</v>
      </c>
      <c r="I66" s="148">
        <f t="shared" si="5"/>
        <v>0</v>
      </c>
      <c r="J66" s="148">
        <f t="shared" si="5"/>
        <v>0</v>
      </c>
      <c r="K66" s="148">
        <f t="shared" si="5"/>
        <v>2.85</v>
      </c>
      <c r="L66" s="148">
        <f t="shared" si="5"/>
        <v>2.85</v>
      </c>
      <c r="M66" s="148">
        <f t="shared" si="5"/>
        <v>2.85</v>
      </c>
      <c r="N66" s="148">
        <f t="shared" si="5"/>
        <v>2.85</v>
      </c>
      <c r="O66" s="148">
        <f t="shared" si="5"/>
        <v>5.7</v>
      </c>
      <c r="P66" s="148">
        <f t="shared" si="5"/>
        <v>5.7</v>
      </c>
      <c r="Q66" s="148">
        <f t="shared" si="5"/>
        <v>5.7</v>
      </c>
      <c r="R66" s="148">
        <f t="shared" si="5"/>
        <v>2.85</v>
      </c>
      <c r="S66" s="148">
        <f t="shared" si="5"/>
        <v>2.85</v>
      </c>
      <c r="T66" s="148">
        <f t="shared" si="5"/>
        <v>0</v>
      </c>
      <c r="U66" s="148">
        <f t="shared" si="5"/>
        <v>0</v>
      </c>
      <c r="V66" s="148">
        <f t="shared" si="5"/>
        <v>0</v>
      </c>
      <c r="W66" s="148">
        <f t="shared" si="5"/>
        <v>0</v>
      </c>
      <c r="X66" s="148">
        <f t="shared" si="5"/>
        <v>0</v>
      </c>
      <c r="Y66" s="148">
        <f t="shared" si="5"/>
        <v>0</v>
      </c>
      <c r="Z66" s="148">
        <f t="shared" si="5"/>
        <v>0</v>
      </c>
      <c r="AA66" s="146">
        <f>SUM(C66:Z66)</f>
        <v>34.200000000000003</v>
      </c>
      <c r="AB66" s="51">
        <f>AA66/1000</f>
        <v>3.4200000000000001E-2</v>
      </c>
      <c r="AC66" s="86">
        <f>AB66*365</f>
        <v>12.483000000000001</v>
      </c>
    </row>
    <row r="67" spans="2:29" ht="15.75" thickBot="1" x14ac:dyDescent="0.3">
      <c r="B67" s="87" t="s">
        <v>8</v>
      </c>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3"/>
      <c r="AB67" s="3"/>
      <c r="AC67" s="151"/>
    </row>
    <row r="68" spans="2:29" x14ac:dyDescent="0.25">
      <c r="B68" s="77" t="s">
        <v>0</v>
      </c>
      <c r="C68" s="148">
        <f>(C56*$N$40*$C$40)</f>
        <v>0</v>
      </c>
      <c r="D68" s="148">
        <f t="shared" ref="D68:Z68" si="6">(D56*$N$40*$C$40)</f>
        <v>0</v>
      </c>
      <c r="E68" s="148">
        <f t="shared" si="6"/>
        <v>0</v>
      </c>
      <c r="F68" s="148">
        <f t="shared" si="6"/>
        <v>0</v>
      </c>
      <c r="G68" s="148">
        <f t="shared" si="6"/>
        <v>0</v>
      </c>
      <c r="H68" s="148">
        <f t="shared" si="6"/>
        <v>0</v>
      </c>
      <c r="I68" s="148">
        <f t="shared" si="6"/>
        <v>0</v>
      </c>
      <c r="J68" s="148">
        <f t="shared" si="6"/>
        <v>0</v>
      </c>
      <c r="K68" s="148">
        <f t="shared" si="6"/>
        <v>0</v>
      </c>
      <c r="L68" s="148">
        <f t="shared" si="6"/>
        <v>0</v>
      </c>
      <c r="M68" s="148">
        <f t="shared" si="6"/>
        <v>0</v>
      </c>
      <c r="N68" s="148">
        <f t="shared" si="6"/>
        <v>0</v>
      </c>
      <c r="O68" s="148">
        <f t="shared" si="6"/>
        <v>0</v>
      </c>
      <c r="P68" s="148">
        <f t="shared" si="6"/>
        <v>0</v>
      </c>
      <c r="Q68" s="148">
        <f t="shared" si="6"/>
        <v>0</v>
      </c>
      <c r="R68" s="148">
        <f t="shared" si="6"/>
        <v>0</v>
      </c>
      <c r="S68" s="148">
        <f t="shared" si="6"/>
        <v>0</v>
      </c>
      <c r="T68" s="148">
        <f t="shared" si="6"/>
        <v>12.3</v>
      </c>
      <c r="U68" s="148">
        <f t="shared" si="6"/>
        <v>18.45</v>
      </c>
      <c r="V68" s="148">
        <f t="shared" si="6"/>
        <v>36.9</v>
      </c>
      <c r="W68" s="148">
        <f t="shared" si="6"/>
        <v>73.8</v>
      </c>
      <c r="X68" s="148">
        <f t="shared" si="6"/>
        <v>73.8</v>
      </c>
      <c r="Y68" s="148">
        <f t="shared" si="6"/>
        <v>30.749999999999996</v>
      </c>
      <c r="Z68" s="148">
        <f t="shared" si="6"/>
        <v>0</v>
      </c>
      <c r="AA68" s="146">
        <f>SUM(C68:Z68)</f>
        <v>246</v>
      </c>
      <c r="AB68" s="51">
        <f>AA68/1000</f>
        <v>0.246</v>
      </c>
      <c r="AC68" s="86">
        <f>AB68*365</f>
        <v>89.789999999999992</v>
      </c>
    </row>
    <row r="69" spans="2:29" x14ac:dyDescent="0.25">
      <c r="B69" s="77" t="s">
        <v>1</v>
      </c>
      <c r="C69" s="148">
        <f>(C57*$N$41*$C$41)</f>
        <v>0</v>
      </c>
      <c r="D69" s="148">
        <f t="shared" ref="D69:Z69" si="7">(D57*$N$41*$C$41)</f>
        <v>0</v>
      </c>
      <c r="E69" s="148">
        <f t="shared" si="7"/>
        <v>0</v>
      </c>
      <c r="F69" s="148">
        <f t="shared" si="7"/>
        <v>0</v>
      </c>
      <c r="G69" s="148">
        <f t="shared" si="7"/>
        <v>0</v>
      </c>
      <c r="H69" s="148">
        <f t="shared" si="7"/>
        <v>0</v>
      </c>
      <c r="I69" s="148">
        <f t="shared" si="7"/>
        <v>0</v>
      </c>
      <c r="J69" s="148">
        <f t="shared" si="7"/>
        <v>0</v>
      </c>
      <c r="K69" s="148">
        <f t="shared" si="7"/>
        <v>0</v>
      </c>
      <c r="L69" s="148">
        <f t="shared" si="7"/>
        <v>0</v>
      </c>
      <c r="M69" s="148">
        <f t="shared" si="7"/>
        <v>0</v>
      </c>
      <c r="N69" s="148">
        <f t="shared" si="7"/>
        <v>0</v>
      </c>
      <c r="O69" s="148">
        <f t="shared" si="7"/>
        <v>0</v>
      </c>
      <c r="P69" s="148">
        <f t="shared" si="7"/>
        <v>0</v>
      </c>
      <c r="Q69" s="148">
        <f t="shared" si="7"/>
        <v>0</v>
      </c>
      <c r="R69" s="148">
        <f t="shared" si="7"/>
        <v>0</v>
      </c>
      <c r="S69" s="148">
        <f t="shared" si="7"/>
        <v>0</v>
      </c>
      <c r="T69" s="148">
        <f t="shared" si="7"/>
        <v>0</v>
      </c>
      <c r="U69" s="148">
        <f t="shared" si="7"/>
        <v>1.3300000000000003</v>
      </c>
      <c r="V69" s="148">
        <f t="shared" si="7"/>
        <v>2.6600000000000006</v>
      </c>
      <c r="W69" s="148">
        <f t="shared" si="7"/>
        <v>2.6600000000000006</v>
      </c>
      <c r="X69" s="148">
        <f t="shared" si="7"/>
        <v>3.9899999999999998</v>
      </c>
      <c r="Y69" s="148">
        <f t="shared" si="7"/>
        <v>2.6600000000000006</v>
      </c>
      <c r="Z69" s="148">
        <f t="shared" si="7"/>
        <v>0</v>
      </c>
      <c r="AA69" s="146">
        <f>SUM(C69:Z69)</f>
        <v>13.300000000000002</v>
      </c>
      <c r="AB69" s="51">
        <f>AA69/1000</f>
        <v>1.3300000000000003E-2</v>
      </c>
      <c r="AC69" s="86">
        <f>AB69*365</f>
        <v>4.8545000000000007</v>
      </c>
    </row>
    <row r="70" spans="2:29" x14ac:dyDescent="0.25">
      <c r="B70" s="77" t="s">
        <v>2</v>
      </c>
      <c r="C70" s="148">
        <f>(C58*$N$42*$C$42)</f>
        <v>0</v>
      </c>
      <c r="D70" s="148">
        <f t="shared" ref="D70:Z70" si="8">(D58*$N$42*$C$42)</f>
        <v>0</v>
      </c>
      <c r="E70" s="148">
        <f t="shared" si="8"/>
        <v>0</v>
      </c>
      <c r="F70" s="148">
        <f t="shared" si="8"/>
        <v>0</v>
      </c>
      <c r="G70" s="148">
        <f t="shared" si="8"/>
        <v>0</v>
      </c>
      <c r="H70" s="148">
        <f t="shared" si="8"/>
        <v>0</v>
      </c>
      <c r="I70" s="148">
        <f t="shared" si="8"/>
        <v>0</v>
      </c>
      <c r="J70" s="148">
        <f t="shared" si="8"/>
        <v>0</v>
      </c>
      <c r="K70" s="148">
        <f t="shared" si="8"/>
        <v>17</v>
      </c>
      <c r="L70" s="148">
        <f t="shared" si="8"/>
        <v>17</v>
      </c>
      <c r="M70" s="148">
        <f t="shared" si="8"/>
        <v>17</v>
      </c>
      <c r="N70" s="148">
        <f t="shared" si="8"/>
        <v>17</v>
      </c>
      <c r="O70" s="148">
        <f t="shared" si="8"/>
        <v>0</v>
      </c>
      <c r="P70" s="148">
        <f t="shared" si="8"/>
        <v>0</v>
      </c>
      <c r="Q70" s="148">
        <f t="shared" si="8"/>
        <v>0</v>
      </c>
      <c r="R70" s="148">
        <f t="shared" si="8"/>
        <v>0</v>
      </c>
      <c r="S70" s="148">
        <f t="shared" si="8"/>
        <v>0</v>
      </c>
      <c r="T70" s="148">
        <f t="shared" si="8"/>
        <v>0</v>
      </c>
      <c r="U70" s="148">
        <f t="shared" si="8"/>
        <v>0</v>
      </c>
      <c r="V70" s="148">
        <f t="shared" si="8"/>
        <v>0</v>
      </c>
      <c r="W70" s="148">
        <f t="shared" si="8"/>
        <v>0</v>
      </c>
      <c r="X70" s="148">
        <f t="shared" si="8"/>
        <v>0</v>
      </c>
      <c r="Y70" s="148">
        <f t="shared" si="8"/>
        <v>0</v>
      </c>
      <c r="Z70" s="148">
        <f t="shared" si="8"/>
        <v>0</v>
      </c>
      <c r="AA70" s="146">
        <f>SUM(C70:Z70)</f>
        <v>68</v>
      </c>
      <c r="AB70" s="51">
        <f>AA70/1000</f>
        <v>6.8000000000000005E-2</v>
      </c>
      <c r="AC70" s="86">
        <f>AB70*365</f>
        <v>24.82</v>
      </c>
    </row>
    <row r="71" spans="2:29" ht="15.75" thickBot="1" x14ac:dyDescent="0.3">
      <c r="B71" s="89" t="s">
        <v>3</v>
      </c>
      <c r="C71" s="150">
        <f>(C59*$N$43*$C$43)</f>
        <v>8.5</v>
      </c>
      <c r="D71" s="150">
        <f t="shared" ref="D71:Z71" si="9">(D59*$N$43*$C$43)</f>
        <v>8.5</v>
      </c>
      <c r="E71" s="150">
        <f t="shared" si="9"/>
        <v>8.5</v>
      </c>
      <c r="F71" s="150">
        <f t="shared" si="9"/>
        <v>8.5</v>
      </c>
      <c r="G71" s="150">
        <f t="shared" si="9"/>
        <v>8.5</v>
      </c>
      <c r="H71" s="150">
        <f t="shared" si="9"/>
        <v>8.5</v>
      </c>
      <c r="I71" s="150">
        <f t="shared" si="9"/>
        <v>8.5</v>
      </c>
      <c r="J71" s="150">
        <f t="shared" si="9"/>
        <v>8.5</v>
      </c>
      <c r="K71" s="150">
        <f t="shared" si="9"/>
        <v>8.5</v>
      </c>
      <c r="L71" s="150">
        <f t="shared" si="9"/>
        <v>8.5</v>
      </c>
      <c r="M71" s="150">
        <f t="shared" si="9"/>
        <v>8.5</v>
      </c>
      <c r="N71" s="150">
        <f t="shared" si="9"/>
        <v>8.5</v>
      </c>
      <c r="O71" s="150">
        <f t="shared" si="9"/>
        <v>8.5</v>
      </c>
      <c r="P71" s="150">
        <f t="shared" si="9"/>
        <v>8.5</v>
      </c>
      <c r="Q71" s="150">
        <f t="shared" si="9"/>
        <v>8.5</v>
      </c>
      <c r="R71" s="150">
        <f t="shared" si="9"/>
        <v>8.5</v>
      </c>
      <c r="S71" s="150">
        <f t="shared" si="9"/>
        <v>8.5</v>
      </c>
      <c r="T71" s="150">
        <f t="shared" si="9"/>
        <v>8.5</v>
      </c>
      <c r="U71" s="150">
        <f t="shared" si="9"/>
        <v>8.5</v>
      </c>
      <c r="V71" s="150">
        <f t="shared" si="9"/>
        <v>8.5</v>
      </c>
      <c r="W71" s="150">
        <f t="shared" si="9"/>
        <v>8.5</v>
      </c>
      <c r="X71" s="150">
        <f t="shared" si="9"/>
        <v>8.5</v>
      </c>
      <c r="Y71" s="150">
        <f t="shared" si="9"/>
        <v>8.5</v>
      </c>
      <c r="Z71" s="150">
        <f t="shared" si="9"/>
        <v>8.5</v>
      </c>
      <c r="AA71" s="146">
        <f>SUM(C71:Z71)</f>
        <v>204</v>
      </c>
      <c r="AB71" s="51">
        <f>AA71/1000</f>
        <v>0.20399999999999999</v>
      </c>
      <c r="AC71" s="86">
        <f>AB71*365</f>
        <v>74.459999999999994</v>
      </c>
    </row>
    <row r="72" spans="2:29" ht="15.75" thickBot="1" x14ac:dyDescent="0.3">
      <c r="B72" s="90" t="s">
        <v>115</v>
      </c>
      <c r="C72" s="147">
        <f>SUM(C64:C71)</f>
        <v>8.5</v>
      </c>
      <c r="D72" s="147">
        <f t="shared" ref="D72:AC72" si="10">SUM(D64:D71)</f>
        <v>8.5</v>
      </c>
      <c r="E72" s="147">
        <f t="shared" si="10"/>
        <v>8.5</v>
      </c>
      <c r="F72" s="147">
        <f t="shared" si="10"/>
        <v>8.5</v>
      </c>
      <c r="G72" s="147">
        <f t="shared" si="10"/>
        <v>8.5</v>
      </c>
      <c r="H72" s="147">
        <f t="shared" si="10"/>
        <v>8.5</v>
      </c>
      <c r="I72" s="147">
        <f t="shared" si="10"/>
        <v>10.012</v>
      </c>
      <c r="J72" s="147">
        <f t="shared" si="10"/>
        <v>10.012</v>
      </c>
      <c r="K72" s="147">
        <f t="shared" si="10"/>
        <v>29.862000000000002</v>
      </c>
      <c r="L72" s="147">
        <f t="shared" si="10"/>
        <v>29.862000000000002</v>
      </c>
      <c r="M72" s="147">
        <f t="shared" si="10"/>
        <v>29.862000000000002</v>
      </c>
      <c r="N72" s="147">
        <f t="shared" si="10"/>
        <v>32.130000000000003</v>
      </c>
      <c r="O72" s="147">
        <f t="shared" si="10"/>
        <v>17.98</v>
      </c>
      <c r="P72" s="147">
        <f t="shared" si="10"/>
        <v>17.98</v>
      </c>
      <c r="Q72" s="147">
        <f t="shared" si="10"/>
        <v>17.98</v>
      </c>
      <c r="R72" s="147">
        <f t="shared" si="10"/>
        <v>11.35</v>
      </c>
      <c r="S72" s="147">
        <f t="shared" si="10"/>
        <v>11.35</v>
      </c>
      <c r="T72" s="147">
        <f t="shared" si="10"/>
        <v>28.36</v>
      </c>
      <c r="U72" s="147">
        <f t="shared" si="10"/>
        <v>42.589999999999996</v>
      </c>
      <c r="V72" s="147">
        <f t="shared" si="10"/>
        <v>75.87</v>
      </c>
      <c r="W72" s="147">
        <f t="shared" si="10"/>
        <v>112.77</v>
      </c>
      <c r="X72" s="147">
        <f t="shared" si="10"/>
        <v>107.35</v>
      </c>
      <c r="Y72" s="147">
        <f t="shared" si="10"/>
        <v>55.410000000000004</v>
      </c>
      <c r="Z72" s="147">
        <f t="shared" si="10"/>
        <v>15.25</v>
      </c>
      <c r="AA72" s="147">
        <f t="shared" si="10"/>
        <v>706.98</v>
      </c>
      <c r="AB72" s="91">
        <f t="shared" si="10"/>
        <v>0.70697999999999994</v>
      </c>
      <c r="AC72" s="152">
        <f t="shared" si="10"/>
        <v>258.04770000000002</v>
      </c>
    </row>
    <row r="73" spans="2:29" x14ac:dyDescent="0.25">
      <c r="B73" s="5"/>
      <c r="C73" s="45"/>
      <c r="D73" s="45"/>
      <c r="E73" s="45"/>
      <c r="F73" s="45"/>
      <c r="G73" s="45"/>
      <c r="H73" s="45"/>
      <c r="I73" s="45"/>
      <c r="J73" s="45"/>
      <c r="K73" s="45"/>
      <c r="L73" s="45"/>
      <c r="M73" s="45"/>
      <c r="N73" s="45"/>
      <c r="O73" s="45"/>
      <c r="P73" s="45"/>
      <c r="Q73" s="45"/>
      <c r="R73" s="45"/>
      <c r="S73" s="45"/>
      <c r="T73" s="45"/>
      <c r="U73" s="45"/>
      <c r="V73" s="45"/>
      <c r="W73" s="45"/>
      <c r="X73" s="45"/>
      <c r="Y73" s="45"/>
      <c r="Z73" s="45"/>
      <c r="AA73" s="42"/>
      <c r="AB73" s="46"/>
      <c r="AC73" s="46"/>
    </row>
    <row r="74" spans="2:29" ht="21.75" thickBot="1" x14ac:dyDescent="0.4">
      <c r="B74" s="35" t="s">
        <v>96</v>
      </c>
      <c r="AA74" s="47"/>
      <c r="AB74" s="48"/>
      <c r="AC74" s="48"/>
    </row>
    <row r="75" spans="2:29" ht="15.75" thickBot="1" x14ac:dyDescent="0.3">
      <c r="B75" s="83"/>
      <c r="C75" s="84">
        <v>0</v>
      </c>
      <c r="D75" s="84">
        <v>4.1666666666666699E-2</v>
      </c>
      <c r="E75" s="84">
        <v>8.3333333333333301E-2</v>
      </c>
      <c r="F75" s="84">
        <v>0.125</v>
      </c>
      <c r="G75" s="84">
        <v>0.16666666666666699</v>
      </c>
      <c r="H75" s="84">
        <v>0.20833333333333301</v>
      </c>
      <c r="I75" s="84">
        <v>0.25</v>
      </c>
      <c r="J75" s="84">
        <v>0.29166666666666702</v>
      </c>
      <c r="K75" s="84">
        <v>0.33333333333333298</v>
      </c>
      <c r="L75" s="84">
        <v>0.375</v>
      </c>
      <c r="M75" s="84">
        <v>0.41666666666666702</v>
      </c>
      <c r="N75" s="84">
        <v>0.45833333333333298</v>
      </c>
      <c r="O75" s="84">
        <v>0.5</v>
      </c>
      <c r="P75" s="84">
        <v>0.54166666666666696</v>
      </c>
      <c r="Q75" s="84">
        <v>0.58333333333333304</v>
      </c>
      <c r="R75" s="84">
        <v>0.625</v>
      </c>
      <c r="S75" s="84">
        <v>0.66666666666666696</v>
      </c>
      <c r="T75" s="84">
        <v>0.70833333333333304</v>
      </c>
      <c r="U75" s="84">
        <v>0.75</v>
      </c>
      <c r="V75" s="84">
        <v>0.79166666666666696</v>
      </c>
      <c r="W75" s="84">
        <v>0.83333333333333304</v>
      </c>
      <c r="X75" s="84">
        <v>0.875</v>
      </c>
      <c r="Y75" s="84">
        <v>0.91666666666666696</v>
      </c>
      <c r="Z75" s="84">
        <v>0.95833333333333304</v>
      </c>
      <c r="AA75" s="84" t="s">
        <v>52</v>
      </c>
      <c r="AB75" s="88" t="s">
        <v>53</v>
      </c>
      <c r="AC75" s="85" t="s">
        <v>64</v>
      </c>
    </row>
    <row r="76" spans="2:29" ht="15.75" thickBot="1" x14ac:dyDescent="0.3">
      <c r="B76" s="68" t="s">
        <v>7</v>
      </c>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80"/>
    </row>
    <row r="77" spans="2:29" x14ac:dyDescent="0.25">
      <c r="B77" s="71" t="s">
        <v>6</v>
      </c>
      <c r="C77" s="146">
        <f>(C52*$O$36*$C$36)</f>
        <v>0</v>
      </c>
      <c r="D77" s="146">
        <f t="shared" ref="D77:Z77" si="11">(D52*$O$36*$C$36)</f>
        <v>0</v>
      </c>
      <c r="E77" s="146">
        <f t="shared" si="11"/>
        <v>0</v>
      </c>
      <c r="F77" s="146">
        <f t="shared" si="11"/>
        <v>0</v>
      </c>
      <c r="G77" s="146">
        <f t="shared" si="11"/>
        <v>0</v>
      </c>
      <c r="H77" s="146">
        <f t="shared" si="11"/>
        <v>0</v>
      </c>
      <c r="I77" s="146">
        <f t="shared" si="11"/>
        <v>0</v>
      </c>
      <c r="J77" s="146">
        <f t="shared" si="11"/>
        <v>0</v>
      </c>
      <c r="K77" s="146">
        <f t="shared" si="11"/>
        <v>0</v>
      </c>
      <c r="L77" s="146">
        <f t="shared" si="11"/>
        <v>0</v>
      </c>
      <c r="M77" s="146">
        <f t="shared" si="11"/>
        <v>0</v>
      </c>
      <c r="N77" s="146">
        <f t="shared" si="11"/>
        <v>0</v>
      </c>
      <c r="O77" s="146">
        <f t="shared" si="11"/>
        <v>0</v>
      </c>
      <c r="P77" s="146">
        <f t="shared" si="11"/>
        <v>0</v>
      </c>
      <c r="Q77" s="146">
        <f t="shared" si="11"/>
        <v>0</v>
      </c>
      <c r="R77" s="146">
        <f t="shared" si="11"/>
        <v>0</v>
      </c>
      <c r="S77" s="146">
        <f t="shared" si="11"/>
        <v>0</v>
      </c>
      <c r="T77" s="146">
        <f t="shared" si="11"/>
        <v>0</v>
      </c>
      <c r="U77" s="146">
        <f t="shared" si="11"/>
        <v>4.5</v>
      </c>
      <c r="V77" s="146">
        <f t="shared" si="11"/>
        <v>13.5</v>
      </c>
      <c r="W77" s="146">
        <f t="shared" si="11"/>
        <v>13.5</v>
      </c>
      <c r="X77" s="146">
        <f t="shared" si="11"/>
        <v>9</v>
      </c>
      <c r="Y77" s="146">
        <f t="shared" si="11"/>
        <v>9</v>
      </c>
      <c r="Z77" s="146">
        <f t="shared" si="11"/>
        <v>4.5</v>
      </c>
      <c r="AA77" s="146">
        <f>SUM(C77:Z77)</f>
        <v>54</v>
      </c>
      <c r="AB77" s="51">
        <f>AA77/1000</f>
        <v>5.3999999999999999E-2</v>
      </c>
      <c r="AC77" s="86">
        <f>AB77*365</f>
        <v>19.71</v>
      </c>
    </row>
    <row r="78" spans="2:29" x14ac:dyDescent="0.25">
      <c r="B78" s="73" t="s">
        <v>9</v>
      </c>
      <c r="C78" s="148">
        <f>(C53*$O$37*$C$37)</f>
        <v>0</v>
      </c>
      <c r="D78" s="148">
        <f t="shared" ref="D78:Z78" si="12">(D53*$O$37*$C$37)</f>
        <v>0</v>
      </c>
      <c r="E78" s="148">
        <f t="shared" si="12"/>
        <v>0</v>
      </c>
      <c r="F78" s="148">
        <f t="shared" si="12"/>
        <v>0</v>
      </c>
      <c r="G78" s="148">
        <f t="shared" si="12"/>
        <v>0</v>
      </c>
      <c r="H78" s="148">
        <f t="shared" si="12"/>
        <v>0</v>
      </c>
      <c r="I78" s="148">
        <f t="shared" si="12"/>
        <v>0.88000000000000012</v>
      </c>
      <c r="J78" s="148">
        <f t="shared" si="12"/>
        <v>0.88000000000000012</v>
      </c>
      <c r="K78" s="148">
        <f t="shared" si="12"/>
        <v>0.88000000000000012</v>
      </c>
      <c r="L78" s="148">
        <f t="shared" si="12"/>
        <v>0.88000000000000012</v>
      </c>
      <c r="M78" s="148">
        <f t="shared" si="12"/>
        <v>0.88000000000000012</v>
      </c>
      <c r="N78" s="148">
        <f t="shared" si="12"/>
        <v>2.2000000000000002</v>
      </c>
      <c r="O78" s="148">
        <f t="shared" si="12"/>
        <v>2.2000000000000002</v>
      </c>
      <c r="P78" s="148">
        <f t="shared" si="12"/>
        <v>2.2000000000000002</v>
      </c>
      <c r="Q78" s="148">
        <f t="shared" si="12"/>
        <v>2.2000000000000002</v>
      </c>
      <c r="R78" s="148">
        <f t="shared" si="12"/>
        <v>0</v>
      </c>
      <c r="S78" s="148">
        <f t="shared" si="12"/>
        <v>0</v>
      </c>
      <c r="T78" s="148">
        <f t="shared" si="12"/>
        <v>4.4000000000000004</v>
      </c>
      <c r="U78" s="148">
        <f t="shared" si="12"/>
        <v>4.4000000000000004</v>
      </c>
      <c r="V78" s="148">
        <f t="shared" si="12"/>
        <v>4.4000000000000004</v>
      </c>
      <c r="W78" s="148">
        <f t="shared" si="12"/>
        <v>4.4000000000000004</v>
      </c>
      <c r="X78" s="148">
        <f t="shared" si="12"/>
        <v>4.4000000000000004</v>
      </c>
      <c r="Y78" s="148">
        <f t="shared" si="12"/>
        <v>0</v>
      </c>
      <c r="Z78" s="148">
        <f t="shared" si="12"/>
        <v>0</v>
      </c>
      <c r="AA78" s="146">
        <f>SUM(C78:Z78)</f>
        <v>35.199999999999996</v>
      </c>
      <c r="AB78" s="51">
        <f>AA78/1000</f>
        <v>3.5199999999999995E-2</v>
      </c>
      <c r="AC78" s="86">
        <f>AB78*365</f>
        <v>12.847999999999999</v>
      </c>
    </row>
    <row r="79" spans="2:29" ht="15.75" thickBot="1" x14ac:dyDescent="0.3">
      <c r="B79" s="73" t="s">
        <v>4</v>
      </c>
      <c r="C79" s="148">
        <f>(C54*$O$38*$C$38)</f>
        <v>0</v>
      </c>
      <c r="D79" s="148">
        <f t="shared" ref="D79:Z79" si="13">(D54*$O$38*$C$38)</f>
        <v>0</v>
      </c>
      <c r="E79" s="148">
        <f t="shared" si="13"/>
        <v>0</v>
      </c>
      <c r="F79" s="148">
        <f t="shared" si="13"/>
        <v>0</v>
      </c>
      <c r="G79" s="148">
        <f t="shared" si="13"/>
        <v>0</v>
      </c>
      <c r="H79" s="148">
        <f t="shared" si="13"/>
        <v>0</v>
      </c>
      <c r="I79" s="148">
        <f t="shared" si="13"/>
        <v>0</v>
      </c>
      <c r="J79" s="148">
        <f t="shared" si="13"/>
        <v>0</v>
      </c>
      <c r="K79" s="148">
        <f t="shared" si="13"/>
        <v>0.5625</v>
      </c>
      <c r="L79" s="148">
        <f t="shared" si="13"/>
        <v>0.5625</v>
      </c>
      <c r="M79" s="148">
        <f t="shared" si="13"/>
        <v>0.5625</v>
      </c>
      <c r="N79" s="148">
        <f t="shared" si="13"/>
        <v>0.5625</v>
      </c>
      <c r="O79" s="148">
        <f t="shared" si="13"/>
        <v>1.125</v>
      </c>
      <c r="P79" s="148">
        <f t="shared" si="13"/>
        <v>1.125</v>
      </c>
      <c r="Q79" s="148">
        <f t="shared" si="13"/>
        <v>1.125</v>
      </c>
      <c r="R79" s="148">
        <f t="shared" si="13"/>
        <v>0.5625</v>
      </c>
      <c r="S79" s="148">
        <f t="shared" si="13"/>
        <v>0.5625</v>
      </c>
      <c r="T79" s="148">
        <f t="shared" si="13"/>
        <v>0</v>
      </c>
      <c r="U79" s="148">
        <f t="shared" si="13"/>
        <v>0</v>
      </c>
      <c r="V79" s="148">
        <f t="shared" si="13"/>
        <v>0</v>
      </c>
      <c r="W79" s="148">
        <f t="shared" si="13"/>
        <v>0</v>
      </c>
      <c r="X79" s="148">
        <f t="shared" si="13"/>
        <v>0</v>
      </c>
      <c r="Y79" s="148">
        <f t="shared" si="13"/>
        <v>0</v>
      </c>
      <c r="Z79" s="148">
        <f t="shared" si="13"/>
        <v>0</v>
      </c>
      <c r="AA79" s="146">
        <f>SUM(C79:Z79)</f>
        <v>6.75</v>
      </c>
      <c r="AB79" s="51">
        <f>AA79/1000</f>
        <v>6.7499999999999999E-3</v>
      </c>
      <c r="AC79" s="86">
        <f>AB79*365</f>
        <v>2.4637500000000001</v>
      </c>
    </row>
    <row r="80" spans="2:29" ht="15.75" thickBot="1" x14ac:dyDescent="0.3">
      <c r="B80" s="87" t="s">
        <v>8</v>
      </c>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3"/>
      <c r="AB80" s="3"/>
      <c r="AC80" s="151"/>
    </row>
    <row r="81" spans="2:29" x14ac:dyDescent="0.25">
      <c r="B81" s="77" t="s">
        <v>0</v>
      </c>
      <c r="C81" s="148">
        <f>(C56*$O$40*$C$40)</f>
        <v>0</v>
      </c>
      <c r="D81" s="148">
        <f t="shared" ref="D81:Z81" si="14">(D56*$O$40*$C$40)</f>
        <v>0</v>
      </c>
      <c r="E81" s="148">
        <f t="shared" si="14"/>
        <v>0</v>
      </c>
      <c r="F81" s="148">
        <f t="shared" si="14"/>
        <v>0</v>
      </c>
      <c r="G81" s="148">
        <f t="shared" si="14"/>
        <v>0</v>
      </c>
      <c r="H81" s="148">
        <f t="shared" si="14"/>
        <v>0</v>
      </c>
      <c r="I81" s="148">
        <f t="shared" si="14"/>
        <v>0</v>
      </c>
      <c r="J81" s="148">
        <f t="shared" si="14"/>
        <v>0</v>
      </c>
      <c r="K81" s="148">
        <f t="shared" si="14"/>
        <v>0</v>
      </c>
      <c r="L81" s="148">
        <f t="shared" si="14"/>
        <v>0</v>
      </c>
      <c r="M81" s="148">
        <f t="shared" si="14"/>
        <v>0</v>
      </c>
      <c r="N81" s="148">
        <f t="shared" si="14"/>
        <v>0</v>
      </c>
      <c r="O81" s="148">
        <f t="shared" si="14"/>
        <v>0</v>
      </c>
      <c r="P81" s="148">
        <f t="shared" si="14"/>
        <v>0</v>
      </c>
      <c r="Q81" s="148">
        <f t="shared" si="14"/>
        <v>0</v>
      </c>
      <c r="R81" s="148">
        <f t="shared" si="14"/>
        <v>0</v>
      </c>
      <c r="S81" s="148">
        <f t="shared" si="14"/>
        <v>0</v>
      </c>
      <c r="T81" s="148">
        <f t="shared" si="14"/>
        <v>6.7500000000000009</v>
      </c>
      <c r="U81" s="148">
        <f t="shared" si="14"/>
        <v>10.125</v>
      </c>
      <c r="V81" s="148">
        <f t="shared" si="14"/>
        <v>20.25</v>
      </c>
      <c r="W81" s="148">
        <f t="shared" si="14"/>
        <v>40.5</v>
      </c>
      <c r="X81" s="148">
        <f t="shared" si="14"/>
        <v>40.5</v>
      </c>
      <c r="Y81" s="148">
        <f t="shared" si="14"/>
        <v>16.875</v>
      </c>
      <c r="Z81" s="148">
        <f t="shared" si="14"/>
        <v>0</v>
      </c>
      <c r="AA81" s="146">
        <f>SUM(C81:Z81)</f>
        <v>135</v>
      </c>
      <c r="AB81" s="51">
        <f>AA81/1000</f>
        <v>0.13500000000000001</v>
      </c>
      <c r="AC81" s="86">
        <f>AB81*365</f>
        <v>49.275000000000006</v>
      </c>
    </row>
    <row r="82" spans="2:29" x14ac:dyDescent="0.25">
      <c r="B82" s="77" t="s">
        <v>1</v>
      </c>
      <c r="C82" s="148">
        <f>(C57*$O$41*$C$41)</f>
        <v>0</v>
      </c>
      <c r="D82" s="148">
        <f t="shared" ref="D82:Z82" si="15">(D57*$O$41*$C$41)</f>
        <v>0</v>
      </c>
      <c r="E82" s="148">
        <f t="shared" si="15"/>
        <v>0</v>
      </c>
      <c r="F82" s="148">
        <f t="shared" si="15"/>
        <v>0</v>
      </c>
      <c r="G82" s="148">
        <f t="shared" si="15"/>
        <v>0</v>
      </c>
      <c r="H82" s="148">
        <f t="shared" si="15"/>
        <v>0</v>
      </c>
      <c r="I82" s="148">
        <f t="shared" si="15"/>
        <v>0</v>
      </c>
      <c r="J82" s="148">
        <f t="shared" si="15"/>
        <v>0</v>
      </c>
      <c r="K82" s="148">
        <f t="shared" si="15"/>
        <v>0</v>
      </c>
      <c r="L82" s="148">
        <f t="shared" si="15"/>
        <v>0</v>
      </c>
      <c r="M82" s="148">
        <f t="shared" si="15"/>
        <v>0</v>
      </c>
      <c r="N82" s="148">
        <f t="shared" si="15"/>
        <v>0</v>
      </c>
      <c r="O82" s="148">
        <f t="shared" si="15"/>
        <v>0</v>
      </c>
      <c r="P82" s="148">
        <f t="shared" si="15"/>
        <v>0</v>
      </c>
      <c r="Q82" s="148">
        <f t="shared" si="15"/>
        <v>0</v>
      </c>
      <c r="R82" s="148">
        <f t="shared" si="15"/>
        <v>0</v>
      </c>
      <c r="S82" s="148">
        <f t="shared" si="15"/>
        <v>0</v>
      </c>
      <c r="T82" s="148">
        <f t="shared" si="15"/>
        <v>0</v>
      </c>
      <c r="U82" s="148">
        <f t="shared" si="15"/>
        <v>7.0000000000000007E-2</v>
      </c>
      <c r="V82" s="148">
        <f t="shared" si="15"/>
        <v>0.14000000000000001</v>
      </c>
      <c r="W82" s="148">
        <f t="shared" si="15"/>
        <v>0.14000000000000001</v>
      </c>
      <c r="X82" s="148">
        <f t="shared" si="15"/>
        <v>0.21</v>
      </c>
      <c r="Y82" s="148">
        <f t="shared" si="15"/>
        <v>0.14000000000000001</v>
      </c>
      <c r="Z82" s="148">
        <f t="shared" si="15"/>
        <v>0</v>
      </c>
      <c r="AA82" s="146">
        <f>SUM(C82:Z82)</f>
        <v>0.70000000000000007</v>
      </c>
      <c r="AB82" s="51">
        <f>AA82/1000</f>
        <v>7.000000000000001E-4</v>
      </c>
      <c r="AC82" s="86">
        <f>AB82*365</f>
        <v>0.25550000000000006</v>
      </c>
    </row>
    <row r="83" spans="2:29" x14ac:dyDescent="0.25">
      <c r="B83" s="77" t="s">
        <v>2</v>
      </c>
      <c r="C83" s="148">
        <f>(C58*$O$42*$C$42)</f>
        <v>0</v>
      </c>
      <c r="D83" s="148">
        <f t="shared" ref="D83:Z83" si="16">(D58*$O$42*$C$42)</f>
        <v>0</v>
      </c>
      <c r="E83" s="148">
        <f t="shared" si="16"/>
        <v>0</v>
      </c>
      <c r="F83" s="148">
        <f t="shared" si="16"/>
        <v>0</v>
      </c>
      <c r="G83" s="148">
        <f t="shared" si="16"/>
        <v>0</v>
      </c>
      <c r="H83" s="148">
        <f t="shared" si="16"/>
        <v>0</v>
      </c>
      <c r="I83" s="148">
        <f t="shared" si="16"/>
        <v>0</v>
      </c>
      <c r="J83" s="148">
        <f t="shared" si="16"/>
        <v>0</v>
      </c>
      <c r="K83" s="148">
        <f t="shared" si="16"/>
        <v>5.5000000000000009</v>
      </c>
      <c r="L83" s="148">
        <f t="shared" si="16"/>
        <v>5.5000000000000009</v>
      </c>
      <c r="M83" s="148">
        <f t="shared" si="16"/>
        <v>5.5000000000000009</v>
      </c>
      <c r="N83" s="148">
        <f t="shared" si="16"/>
        <v>5.5000000000000009</v>
      </c>
      <c r="O83" s="148">
        <f t="shared" si="16"/>
        <v>0</v>
      </c>
      <c r="P83" s="148">
        <f t="shared" si="16"/>
        <v>0</v>
      </c>
      <c r="Q83" s="148">
        <f t="shared" si="16"/>
        <v>0</v>
      </c>
      <c r="R83" s="148">
        <f t="shared" si="16"/>
        <v>0</v>
      </c>
      <c r="S83" s="148">
        <f t="shared" si="16"/>
        <v>0</v>
      </c>
      <c r="T83" s="148">
        <f t="shared" si="16"/>
        <v>0</v>
      </c>
      <c r="U83" s="148">
        <f t="shared" si="16"/>
        <v>0</v>
      </c>
      <c r="V83" s="148">
        <f t="shared" si="16"/>
        <v>0</v>
      </c>
      <c r="W83" s="148">
        <f t="shared" si="16"/>
        <v>0</v>
      </c>
      <c r="X83" s="148">
        <f t="shared" si="16"/>
        <v>0</v>
      </c>
      <c r="Y83" s="148">
        <f t="shared" si="16"/>
        <v>0</v>
      </c>
      <c r="Z83" s="148">
        <f t="shared" si="16"/>
        <v>0</v>
      </c>
      <c r="AA83" s="146">
        <f>SUM(C83:Z83)</f>
        <v>22.000000000000004</v>
      </c>
      <c r="AB83" s="51">
        <f>AA83/1000</f>
        <v>2.2000000000000002E-2</v>
      </c>
      <c r="AC83" s="86">
        <f>AB83*365</f>
        <v>8.0300000000000011</v>
      </c>
    </row>
    <row r="84" spans="2:29" ht="15.75" thickBot="1" x14ac:dyDescent="0.3">
      <c r="B84" s="89" t="s">
        <v>3</v>
      </c>
      <c r="C84" s="150">
        <f>(C59*$O$43*$C$43)</f>
        <v>2</v>
      </c>
      <c r="D84" s="150">
        <f t="shared" ref="D84:Z84" si="17">(D59*$O$43*$C$43)</f>
        <v>2</v>
      </c>
      <c r="E84" s="150">
        <f t="shared" si="17"/>
        <v>2</v>
      </c>
      <c r="F84" s="150">
        <f t="shared" si="17"/>
        <v>2</v>
      </c>
      <c r="G84" s="150">
        <f t="shared" si="17"/>
        <v>2</v>
      </c>
      <c r="H84" s="150">
        <f t="shared" si="17"/>
        <v>2</v>
      </c>
      <c r="I84" s="150">
        <f t="shared" si="17"/>
        <v>2</v>
      </c>
      <c r="J84" s="150">
        <f t="shared" si="17"/>
        <v>2</v>
      </c>
      <c r="K84" s="150">
        <f t="shared" si="17"/>
        <v>2</v>
      </c>
      <c r="L84" s="150">
        <f t="shared" si="17"/>
        <v>2</v>
      </c>
      <c r="M84" s="150">
        <f t="shared" si="17"/>
        <v>2</v>
      </c>
      <c r="N84" s="150">
        <f t="shared" si="17"/>
        <v>2</v>
      </c>
      <c r="O84" s="150">
        <f t="shared" si="17"/>
        <v>2</v>
      </c>
      <c r="P84" s="150">
        <f t="shared" si="17"/>
        <v>2</v>
      </c>
      <c r="Q84" s="150">
        <f t="shared" si="17"/>
        <v>2</v>
      </c>
      <c r="R84" s="150">
        <f t="shared" si="17"/>
        <v>2</v>
      </c>
      <c r="S84" s="150">
        <f t="shared" si="17"/>
        <v>2</v>
      </c>
      <c r="T84" s="150">
        <f t="shared" si="17"/>
        <v>2</v>
      </c>
      <c r="U84" s="150">
        <f t="shared" si="17"/>
        <v>2</v>
      </c>
      <c r="V84" s="150">
        <f t="shared" si="17"/>
        <v>2</v>
      </c>
      <c r="W84" s="150">
        <f t="shared" si="17"/>
        <v>2</v>
      </c>
      <c r="X84" s="150">
        <f t="shared" si="17"/>
        <v>2</v>
      </c>
      <c r="Y84" s="150">
        <f t="shared" si="17"/>
        <v>2</v>
      </c>
      <c r="Z84" s="150">
        <f t="shared" si="17"/>
        <v>2</v>
      </c>
      <c r="AA84" s="146">
        <f>SUM(C84:Z84)</f>
        <v>48</v>
      </c>
      <c r="AB84" s="51">
        <f>AA84/1000</f>
        <v>4.8000000000000001E-2</v>
      </c>
      <c r="AC84" s="86">
        <f>AB84*365</f>
        <v>17.52</v>
      </c>
    </row>
    <row r="85" spans="2:29" ht="15.75" thickBot="1" x14ac:dyDescent="0.3">
      <c r="B85" s="90" t="s">
        <v>116</v>
      </c>
      <c r="C85" s="147">
        <f>SUM(C77:C84)</f>
        <v>2</v>
      </c>
      <c r="D85" s="147">
        <f t="shared" ref="D85" si="18">SUM(D77:D84)</f>
        <v>2</v>
      </c>
      <c r="E85" s="147">
        <f t="shared" ref="E85" si="19">SUM(E77:E84)</f>
        <v>2</v>
      </c>
      <c r="F85" s="147">
        <f t="shared" ref="F85" si="20">SUM(F77:F84)</f>
        <v>2</v>
      </c>
      <c r="G85" s="147">
        <f t="shared" ref="G85" si="21">SUM(G77:G84)</f>
        <v>2</v>
      </c>
      <c r="H85" s="147">
        <f t="shared" ref="H85" si="22">SUM(H77:H84)</f>
        <v>2</v>
      </c>
      <c r="I85" s="147">
        <f t="shared" ref="I85" si="23">SUM(I77:I84)</f>
        <v>2.88</v>
      </c>
      <c r="J85" s="147">
        <f t="shared" ref="J85" si="24">SUM(J77:J84)</f>
        <v>2.88</v>
      </c>
      <c r="K85" s="147">
        <f t="shared" ref="K85" si="25">SUM(K77:K84)</f>
        <v>8.9425000000000008</v>
      </c>
      <c r="L85" s="147">
        <f t="shared" ref="L85" si="26">SUM(L77:L84)</f>
        <v>8.9425000000000008</v>
      </c>
      <c r="M85" s="147">
        <f t="shared" ref="M85" si="27">SUM(M77:M84)</f>
        <v>8.9425000000000008</v>
      </c>
      <c r="N85" s="147">
        <f t="shared" ref="N85" si="28">SUM(N77:N84)</f>
        <v>10.262500000000001</v>
      </c>
      <c r="O85" s="147">
        <f t="shared" ref="O85" si="29">SUM(O77:O84)</f>
        <v>5.3250000000000002</v>
      </c>
      <c r="P85" s="147">
        <f t="shared" ref="P85" si="30">SUM(P77:P84)</f>
        <v>5.3250000000000002</v>
      </c>
      <c r="Q85" s="147">
        <f t="shared" ref="Q85" si="31">SUM(Q77:Q84)</f>
        <v>5.3250000000000002</v>
      </c>
      <c r="R85" s="147">
        <f t="shared" ref="R85" si="32">SUM(R77:R84)</f>
        <v>2.5625</v>
      </c>
      <c r="S85" s="147">
        <f t="shared" ref="S85" si="33">SUM(S77:S84)</f>
        <v>2.5625</v>
      </c>
      <c r="T85" s="147">
        <f t="shared" ref="T85" si="34">SUM(T77:T84)</f>
        <v>13.150000000000002</v>
      </c>
      <c r="U85" s="147">
        <f t="shared" ref="U85" si="35">SUM(U77:U84)</f>
        <v>21.094999999999999</v>
      </c>
      <c r="V85" s="147">
        <f t="shared" ref="V85" si="36">SUM(V77:V84)</f>
        <v>40.29</v>
      </c>
      <c r="W85" s="147">
        <f t="shared" ref="W85" si="37">SUM(W77:W84)</f>
        <v>60.54</v>
      </c>
      <c r="X85" s="147">
        <f t="shared" ref="X85" si="38">SUM(X77:X84)</f>
        <v>56.11</v>
      </c>
      <c r="Y85" s="147">
        <f t="shared" ref="Y85" si="39">SUM(Y77:Y84)</f>
        <v>28.015000000000001</v>
      </c>
      <c r="Z85" s="147">
        <f t="shared" ref="Z85:AC85" si="40">SUM(Z77:Z84)</f>
        <v>6.5</v>
      </c>
      <c r="AA85" s="147">
        <f t="shared" si="40"/>
        <v>301.64999999999998</v>
      </c>
      <c r="AB85" s="91">
        <f t="shared" si="40"/>
        <v>0.30165000000000003</v>
      </c>
      <c r="AC85" s="152">
        <f t="shared" si="40"/>
        <v>110.10225</v>
      </c>
    </row>
    <row r="86" spans="2:29" x14ac:dyDescent="0.25">
      <c r="B86" s="5"/>
      <c r="C86" s="45"/>
      <c r="D86" s="45"/>
      <c r="E86" s="45"/>
      <c r="F86" s="45"/>
      <c r="G86" s="45"/>
      <c r="H86" s="45"/>
      <c r="I86" s="45"/>
      <c r="J86" s="45"/>
      <c r="K86" s="45"/>
      <c r="L86" s="45"/>
      <c r="M86" s="45"/>
      <c r="N86" s="45"/>
      <c r="O86" s="45"/>
      <c r="P86" s="45"/>
      <c r="Q86" s="45"/>
      <c r="R86" s="45"/>
      <c r="S86" s="45"/>
      <c r="T86" s="45"/>
      <c r="U86" s="45"/>
      <c r="V86" s="45"/>
      <c r="W86" s="45"/>
      <c r="X86" s="45"/>
      <c r="Y86" s="45"/>
      <c r="Z86" s="45"/>
      <c r="AA86" s="42"/>
      <c r="AB86" s="46"/>
      <c r="AC86" s="46"/>
    </row>
    <row r="87" spans="2:29" ht="21.75" thickBot="1" x14ac:dyDescent="0.4">
      <c r="B87" s="35" t="s">
        <v>97</v>
      </c>
      <c r="AA87" s="47"/>
      <c r="AB87" s="48"/>
      <c r="AC87" s="48"/>
    </row>
    <row r="88" spans="2:29" ht="15.75" thickBot="1" x14ac:dyDescent="0.3">
      <c r="B88" s="83"/>
      <c r="C88" s="84">
        <v>0</v>
      </c>
      <c r="D88" s="84">
        <v>4.1666666666666699E-2</v>
      </c>
      <c r="E88" s="84">
        <v>8.3333333333333301E-2</v>
      </c>
      <c r="F88" s="84">
        <v>0.125</v>
      </c>
      <c r="G88" s="84">
        <v>0.16666666666666699</v>
      </c>
      <c r="H88" s="84">
        <v>0.20833333333333301</v>
      </c>
      <c r="I88" s="84">
        <v>0.25</v>
      </c>
      <c r="J88" s="84">
        <v>0.29166666666666702</v>
      </c>
      <c r="K88" s="84">
        <v>0.33333333333333298</v>
      </c>
      <c r="L88" s="84">
        <v>0.375</v>
      </c>
      <c r="M88" s="84">
        <v>0.41666666666666702</v>
      </c>
      <c r="N88" s="84">
        <v>0.45833333333333298</v>
      </c>
      <c r="O88" s="84">
        <v>0.5</v>
      </c>
      <c r="P88" s="84">
        <v>0.54166666666666696</v>
      </c>
      <c r="Q88" s="84">
        <v>0.58333333333333304</v>
      </c>
      <c r="R88" s="84">
        <v>0.625</v>
      </c>
      <c r="S88" s="84">
        <v>0.66666666666666696</v>
      </c>
      <c r="T88" s="84">
        <v>0.70833333333333304</v>
      </c>
      <c r="U88" s="84">
        <v>0.75</v>
      </c>
      <c r="V88" s="84">
        <v>0.79166666666666696</v>
      </c>
      <c r="W88" s="84">
        <v>0.83333333333333304</v>
      </c>
      <c r="X88" s="84">
        <v>0.875</v>
      </c>
      <c r="Y88" s="84">
        <v>0.91666666666666696</v>
      </c>
      <c r="Z88" s="84">
        <v>0.95833333333333304</v>
      </c>
      <c r="AA88" s="84" t="s">
        <v>52</v>
      </c>
      <c r="AB88" s="88" t="s">
        <v>53</v>
      </c>
      <c r="AC88" s="85" t="s">
        <v>64</v>
      </c>
    </row>
    <row r="89" spans="2:29" ht="15.75" thickBot="1" x14ac:dyDescent="0.3">
      <c r="B89" s="68" t="s">
        <v>7</v>
      </c>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80"/>
    </row>
    <row r="90" spans="2:29" x14ac:dyDescent="0.25">
      <c r="B90" s="71" t="s">
        <v>6</v>
      </c>
      <c r="C90" s="146">
        <f>(C52*$P$36*$C$36)</f>
        <v>0</v>
      </c>
      <c r="D90" s="146">
        <f t="shared" ref="D90:Z90" si="41">(D52*$P$36*$C$36)</f>
        <v>0</v>
      </c>
      <c r="E90" s="146">
        <f t="shared" si="41"/>
        <v>0</v>
      </c>
      <c r="F90" s="146">
        <f t="shared" si="41"/>
        <v>0</v>
      </c>
      <c r="G90" s="146">
        <f t="shared" si="41"/>
        <v>0</v>
      </c>
      <c r="H90" s="146">
        <f t="shared" si="41"/>
        <v>0</v>
      </c>
      <c r="I90" s="146">
        <f t="shared" si="41"/>
        <v>0</v>
      </c>
      <c r="J90" s="146">
        <f t="shared" si="41"/>
        <v>0</v>
      </c>
      <c r="K90" s="146">
        <f t="shared" si="41"/>
        <v>0</v>
      </c>
      <c r="L90" s="146">
        <f t="shared" si="41"/>
        <v>0</v>
      </c>
      <c r="M90" s="146">
        <f t="shared" si="41"/>
        <v>0</v>
      </c>
      <c r="N90" s="146">
        <f t="shared" si="41"/>
        <v>0</v>
      </c>
      <c r="O90" s="146">
        <f t="shared" si="41"/>
        <v>0</v>
      </c>
      <c r="P90" s="146">
        <f t="shared" si="41"/>
        <v>0</v>
      </c>
      <c r="Q90" s="146">
        <f t="shared" si="41"/>
        <v>0</v>
      </c>
      <c r="R90" s="146">
        <f t="shared" si="41"/>
        <v>0</v>
      </c>
      <c r="S90" s="146">
        <f t="shared" si="41"/>
        <v>0</v>
      </c>
      <c r="T90" s="146">
        <f t="shared" si="41"/>
        <v>0</v>
      </c>
      <c r="U90" s="146">
        <f t="shared" si="41"/>
        <v>2.25</v>
      </c>
      <c r="V90" s="146">
        <f t="shared" si="41"/>
        <v>6.75</v>
      </c>
      <c r="W90" s="146">
        <f t="shared" si="41"/>
        <v>6.75</v>
      </c>
      <c r="X90" s="146">
        <f t="shared" si="41"/>
        <v>4.5</v>
      </c>
      <c r="Y90" s="146">
        <f t="shared" si="41"/>
        <v>4.5</v>
      </c>
      <c r="Z90" s="146">
        <f t="shared" si="41"/>
        <v>2.25</v>
      </c>
      <c r="AA90" s="146">
        <f>SUM(C90:Z90)</f>
        <v>27</v>
      </c>
      <c r="AB90" s="51">
        <f>AA90/1000</f>
        <v>2.7E-2</v>
      </c>
      <c r="AC90" s="86">
        <f>AB90*365</f>
        <v>9.8550000000000004</v>
      </c>
    </row>
    <row r="91" spans="2:29" x14ac:dyDescent="0.25">
      <c r="B91" s="73" t="s">
        <v>9</v>
      </c>
      <c r="C91" s="148">
        <f>(C53*$P$37*$C$37)</f>
        <v>0</v>
      </c>
      <c r="D91" s="148">
        <f t="shared" ref="D91:Z91" si="42">(D53*$P$37*$C$37)</f>
        <v>0</v>
      </c>
      <c r="E91" s="148">
        <f t="shared" si="42"/>
        <v>0</v>
      </c>
      <c r="F91" s="148">
        <f t="shared" si="42"/>
        <v>0</v>
      </c>
      <c r="G91" s="148">
        <f t="shared" si="42"/>
        <v>0</v>
      </c>
      <c r="H91" s="148">
        <f t="shared" si="42"/>
        <v>0</v>
      </c>
      <c r="I91" s="148">
        <f t="shared" si="42"/>
        <v>0.32800000000000001</v>
      </c>
      <c r="J91" s="148">
        <f t="shared" si="42"/>
        <v>0.32800000000000001</v>
      </c>
      <c r="K91" s="148">
        <f t="shared" si="42"/>
        <v>0.32800000000000001</v>
      </c>
      <c r="L91" s="148">
        <f t="shared" si="42"/>
        <v>0.32800000000000001</v>
      </c>
      <c r="M91" s="148">
        <f t="shared" si="42"/>
        <v>0.32800000000000001</v>
      </c>
      <c r="N91" s="148">
        <f t="shared" si="42"/>
        <v>0.82</v>
      </c>
      <c r="O91" s="148">
        <f t="shared" si="42"/>
        <v>0.82</v>
      </c>
      <c r="P91" s="148">
        <f t="shared" si="42"/>
        <v>0.82</v>
      </c>
      <c r="Q91" s="148">
        <f t="shared" si="42"/>
        <v>0.82</v>
      </c>
      <c r="R91" s="148">
        <f t="shared" si="42"/>
        <v>0</v>
      </c>
      <c r="S91" s="148">
        <f t="shared" si="42"/>
        <v>0</v>
      </c>
      <c r="T91" s="148">
        <f t="shared" si="42"/>
        <v>1.64</v>
      </c>
      <c r="U91" s="148">
        <f t="shared" si="42"/>
        <v>1.64</v>
      </c>
      <c r="V91" s="148">
        <f t="shared" si="42"/>
        <v>1.64</v>
      </c>
      <c r="W91" s="148">
        <f t="shared" si="42"/>
        <v>1.64</v>
      </c>
      <c r="X91" s="148">
        <f t="shared" si="42"/>
        <v>1.64</v>
      </c>
      <c r="Y91" s="148">
        <f t="shared" si="42"/>
        <v>0</v>
      </c>
      <c r="Z91" s="148">
        <f t="shared" si="42"/>
        <v>0</v>
      </c>
      <c r="AA91" s="146">
        <f>SUM(C91:Z91)</f>
        <v>13.120000000000001</v>
      </c>
      <c r="AB91" s="51">
        <f>AA91/1000</f>
        <v>1.3120000000000001E-2</v>
      </c>
      <c r="AC91" s="86">
        <f>AB91*365</f>
        <v>4.7888000000000002</v>
      </c>
    </row>
    <row r="92" spans="2:29" ht="15.75" thickBot="1" x14ac:dyDescent="0.3">
      <c r="B92" s="73" t="s">
        <v>4</v>
      </c>
      <c r="C92" s="148">
        <f>(C54*$P$38*$C$38)</f>
        <v>0</v>
      </c>
      <c r="D92" s="148">
        <f t="shared" ref="D92:Z92" si="43">(D54*$P$38*$C$38)</f>
        <v>0</v>
      </c>
      <c r="E92" s="148">
        <f t="shared" si="43"/>
        <v>0</v>
      </c>
      <c r="F92" s="148">
        <f t="shared" si="43"/>
        <v>0</v>
      </c>
      <c r="G92" s="148">
        <f t="shared" si="43"/>
        <v>0</v>
      </c>
      <c r="H92" s="148">
        <f t="shared" si="43"/>
        <v>0</v>
      </c>
      <c r="I92" s="148">
        <f t="shared" si="43"/>
        <v>0</v>
      </c>
      <c r="J92" s="148">
        <f t="shared" si="43"/>
        <v>0</v>
      </c>
      <c r="K92" s="148">
        <f t="shared" si="43"/>
        <v>0.11249999999999999</v>
      </c>
      <c r="L92" s="148">
        <f t="shared" si="43"/>
        <v>0.11249999999999999</v>
      </c>
      <c r="M92" s="148">
        <f t="shared" si="43"/>
        <v>0.11249999999999999</v>
      </c>
      <c r="N92" s="148">
        <f t="shared" si="43"/>
        <v>0.11249999999999999</v>
      </c>
      <c r="O92" s="148">
        <f t="shared" si="43"/>
        <v>0.22499999999999998</v>
      </c>
      <c r="P92" s="148">
        <f t="shared" si="43"/>
        <v>0.22499999999999998</v>
      </c>
      <c r="Q92" s="148">
        <f t="shared" si="43"/>
        <v>0.22499999999999998</v>
      </c>
      <c r="R92" s="148">
        <f t="shared" si="43"/>
        <v>0.11249999999999999</v>
      </c>
      <c r="S92" s="148">
        <f t="shared" si="43"/>
        <v>0.11249999999999999</v>
      </c>
      <c r="T92" s="148">
        <f t="shared" si="43"/>
        <v>0</v>
      </c>
      <c r="U92" s="148">
        <f t="shared" si="43"/>
        <v>0</v>
      </c>
      <c r="V92" s="148">
        <f t="shared" si="43"/>
        <v>0</v>
      </c>
      <c r="W92" s="148">
        <f t="shared" si="43"/>
        <v>0</v>
      </c>
      <c r="X92" s="148">
        <f t="shared" si="43"/>
        <v>0</v>
      </c>
      <c r="Y92" s="148">
        <f t="shared" si="43"/>
        <v>0</v>
      </c>
      <c r="Z92" s="148">
        <f t="shared" si="43"/>
        <v>0</v>
      </c>
      <c r="AA92" s="146">
        <f>SUM(C92:Z92)</f>
        <v>1.35</v>
      </c>
      <c r="AB92" s="51">
        <f>AA92/1000</f>
        <v>1.3500000000000001E-3</v>
      </c>
      <c r="AC92" s="86">
        <f>AB92*365</f>
        <v>0.49275000000000002</v>
      </c>
    </row>
    <row r="93" spans="2:29" ht="15.75" thickBot="1" x14ac:dyDescent="0.3">
      <c r="B93" s="87" t="s">
        <v>8</v>
      </c>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3"/>
      <c r="AB93" s="3"/>
      <c r="AC93" s="151"/>
    </row>
    <row r="94" spans="2:29" x14ac:dyDescent="0.25">
      <c r="B94" s="77" t="s">
        <v>0</v>
      </c>
      <c r="C94" s="148">
        <f>(C56*$P$40*$C$40)</f>
        <v>0</v>
      </c>
      <c r="D94" s="148">
        <f t="shared" ref="D94:Z94" si="44">(D56*$P$40*$C$40)</f>
        <v>0</v>
      </c>
      <c r="E94" s="148">
        <f t="shared" si="44"/>
        <v>0</v>
      </c>
      <c r="F94" s="148">
        <f t="shared" si="44"/>
        <v>0</v>
      </c>
      <c r="G94" s="148">
        <f t="shared" si="44"/>
        <v>0</v>
      </c>
      <c r="H94" s="148">
        <f t="shared" si="44"/>
        <v>0</v>
      </c>
      <c r="I94" s="148">
        <f t="shared" si="44"/>
        <v>0</v>
      </c>
      <c r="J94" s="148">
        <f t="shared" si="44"/>
        <v>0</v>
      </c>
      <c r="K94" s="148">
        <f t="shared" si="44"/>
        <v>0</v>
      </c>
      <c r="L94" s="148">
        <f t="shared" si="44"/>
        <v>0</v>
      </c>
      <c r="M94" s="148">
        <f t="shared" si="44"/>
        <v>0</v>
      </c>
      <c r="N94" s="148">
        <f t="shared" si="44"/>
        <v>0</v>
      </c>
      <c r="O94" s="148">
        <f t="shared" si="44"/>
        <v>0</v>
      </c>
      <c r="P94" s="148">
        <f t="shared" si="44"/>
        <v>0</v>
      </c>
      <c r="Q94" s="148">
        <f t="shared" si="44"/>
        <v>0</v>
      </c>
      <c r="R94" s="148">
        <f t="shared" si="44"/>
        <v>0</v>
      </c>
      <c r="S94" s="148">
        <f t="shared" si="44"/>
        <v>0</v>
      </c>
      <c r="T94" s="148">
        <f t="shared" si="44"/>
        <v>2.4</v>
      </c>
      <c r="U94" s="148">
        <f t="shared" si="44"/>
        <v>3.6</v>
      </c>
      <c r="V94" s="148">
        <f t="shared" si="44"/>
        <v>7.2</v>
      </c>
      <c r="W94" s="148">
        <f t="shared" si="44"/>
        <v>14.4</v>
      </c>
      <c r="X94" s="148">
        <f t="shared" si="44"/>
        <v>14.4</v>
      </c>
      <c r="Y94" s="148">
        <f t="shared" si="44"/>
        <v>6</v>
      </c>
      <c r="Z94" s="148">
        <f t="shared" si="44"/>
        <v>0</v>
      </c>
      <c r="AA94" s="146">
        <f>SUM(C94:Z94)</f>
        <v>48</v>
      </c>
      <c r="AB94" s="51">
        <f>AA94/1000</f>
        <v>4.8000000000000001E-2</v>
      </c>
      <c r="AC94" s="86">
        <f>AB94*365</f>
        <v>17.52</v>
      </c>
    </row>
    <row r="95" spans="2:29" x14ac:dyDescent="0.25">
      <c r="B95" s="77" t="s">
        <v>1</v>
      </c>
      <c r="C95" s="148">
        <f>(C57*$P$41*$C$41)</f>
        <v>0</v>
      </c>
      <c r="D95" s="148">
        <f t="shared" ref="D95:Z95" si="45">(D57*$P$41*$C$41)</f>
        <v>0</v>
      </c>
      <c r="E95" s="148">
        <f t="shared" si="45"/>
        <v>0</v>
      </c>
      <c r="F95" s="148">
        <f t="shared" si="45"/>
        <v>0</v>
      </c>
      <c r="G95" s="148">
        <f t="shared" si="45"/>
        <v>0</v>
      </c>
      <c r="H95" s="148">
        <f t="shared" si="45"/>
        <v>0</v>
      </c>
      <c r="I95" s="148">
        <f t="shared" si="45"/>
        <v>0</v>
      </c>
      <c r="J95" s="148">
        <f t="shared" si="45"/>
        <v>0</v>
      </c>
      <c r="K95" s="148">
        <f t="shared" si="45"/>
        <v>0</v>
      </c>
      <c r="L95" s="148">
        <f t="shared" si="45"/>
        <v>0</v>
      </c>
      <c r="M95" s="148">
        <f t="shared" si="45"/>
        <v>0</v>
      </c>
      <c r="N95" s="148">
        <f t="shared" si="45"/>
        <v>0</v>
      </c>
      <c r="O95" s="148">
        <f t="shared" si="45"/>
        <v>0</v>
      </c>
      <c r="P95" s="148">
        <f t="shared" si="45"/>
        <v>0</v>
      </c>
      <c r="Q95" s="148">
        <f t="shared" si="45"/>
        <v>0</v>
      </c>
      <c r="R95" s="148">
        <f t="shared" si="45"/>
        <v>0</v>
      </c>
      <c r="S95" s="148">
        <f t="shared" si="45"/>
        <v>0</v>
      </c>
      <c r="T95" s="148">
        <f t="shared" si="45"/>
        <v>0</v>
      </c>
      <c r="U95" s="148">
        <f t="shared" si="45"/>
        <v>0.105</v>
      </c>
      <c r="V95" s="148">
        <f t="shared" si="45"/>
        <v>0.21</v>
      </c>
      <c r="W95" s="148">
        <f t="shared" si="45"/>
        <v>0.21</v>
      </c>
      <c r="X95" s="148">
        <f t="shared" si="45"/>
        <v>0.315</v>
      </c>
      <c r="Y95" s="148">
        <f t="shared" si="45"/>
        <v>0.21</v>
      </c>
      <c r="Z95" s="148">
        <f t="shared" si="45"/>
        <v>0</v>
      </c>
      <c r="AA95" s="146">
        <f>SUM(C95:Z95)</f>
        <v>1.05</v>
      </c>
      <c r="AB95" s="51">
        <f>AA95/1000</f>
        <v>1.0500000000000002E-3</v>
      </c>
      <c r="AC95" s="86">
        <f>AB95*365</f>
        <v>0.38325000000000004</v>
      </c>
    </row>
    <row r="96" spans="2:29" x14ac:dyDescent="0.25">
      <c r="B96" s="77" t="s">
        <v>2</v>
      </c>
      <c r="C96" s="148">
        <f>(C58*$P$42*$C$42)</f>
        <v>0</v>
      </c>
      <c r="D96" s="148">
        <f t="shared" ref="D96:Z96" si="46">(D58*$P$42*$C$42)</f>
        <v>0</v>
      </c>
      <c r="E96" s="148">
        <f t="shared" si="46"/>
        <v>0</v>
      </c>
      <c r="F96" s="148">
        <f t="shared" si="46"/>
        <v>0</v>
      </c>
      <c r="G96" s="148">
        <f t="shared" si="46"/>
        <v>0</v>
      </c>
      <c r="H96" s="148">
        <f t="shared" si="46"/>
        <v>0</v>
      </c>
      <c r="I96" s="148">
        <f t="shared" si="46"/>
        <v>0</v>
      </c>
      <c r="J96" s="148">
        <f t="shared" si="46"/>
        <v>0</v>
      </c>
      <c r="K96" s="148">
        <f t="shared" si="46"/>
        <v>1</v>
      </c>
      <c r="L96" s="148">
        <f t="shared" si="46"/>
        <v>1</v>
      </c>
      <c r="M96" s="148">
        <f t="shared" si="46"/>
        <v>1</v>
      </c>
      <c r="N96" s="148">
        <f t="shared" si="46"/>
        <v>1</v>
      </c>
      <c r="O96" s="148">
        <f t="shared" si="46"/>
        <v>0</v>
      </c>
      <c r="P96" s="148">
        <f t="shared" si="46"/>
        <v>0</v>
      </c>
      <c r="Q96" s="148">
        <f t="shared" si="46"/>
        <v>0</v>
      </c>
      <c r="R96" s="148">
        <f t="shared" si="46"/>
        <v>0</v>
      </c>
      <c r="S96" s="148">
        <f t="shared" si="46"/>
        <v>0</v>
      </c>
      <c r="T96" s="148">
        <f t="shared" si="46"/>
        <v>0</v>
      </c>
      <c r="U96" s="148">
        <f t="shared" si="46"/>
        <v>0</v>
      </c>
      <c r="V96" s="148">
        <f t="shared" si="46"/>
        <v>0</v>
      </c>
      <c r="W96" s="148">
        <f t="shared" si="46"/>
        <v>0</v>
      </c>
      <c r="X96" s="148">
        <f t="shared" si="46"/>
        <v>0</v>
      </c>
      <c r="Y96" s="148">
        <f t="shared" si="46"/>
        <v>0</v>
      </c>
      <c r="Z96" s="148">
        <f t="shared" si="46"/>
        <v>0</v>
      </c>
      <c r="AA96" s="146">
        <f>SUM(C96:Z96)</f>
        <v>4</v>
      </c>
      <c r="AB96" s="51">
        <f>AA96/1000</f>
        <v>4.0000000000000001E-3</v>
      </c>
      <c r="AC96" s="86">
        <f>AB96*365</f>
        <v>1.46</v>
      </c>
    </row>
    <row r="97" spans="2:29" ht="15.75" thickBot="1" x14ac:dyDescent="0.3">
      <c r="B97" s="89" t="s">
        <v>3</v>
      </c>
      <c r="C97" s="150">
        <f>(C59*$P$43*$C$43)</f>
        <v>0.5</v>
      </c>
      <c r="D97" s="150">
        <f t="shared" ref="D97:Z97" si="47">(D59*$P$43*$C$43)</f>
        <v>0.5</v>
      </c>
      <c r="E97" s="150">
        <f t="shared" si="47"/>
        <v>0.5</v>
      </c>
      <c r="F97" s="150">
        <f t="shared" si="47"/>
        <v>0.5</v>
      </c>
      <c r="G97" s="150">
        <f t="shared" si="47"/>
        <v>0.5</v>
      </c>
      <c r="H97" s="150">
        <f t="shared" si="47"/>
        <v>0.5</v>
      </c>
      <c r="I97" s="150">
        <f t="shared" si="47"/>
        <v>0.5</v>
      </c>
      <c r="J97" s="150">
        <f t="shared" si="47"/>
        <v>0.5</v>
      </c>
      <c r="K97" s="150">
        <f t="shared" si="47"/>
        <v>0.5</v>
      </c>
      <c r="L97" s="150">
        <f t="shared" si="47"/>
        <v>0.5</v>
      </c>
      <c r="M97" s="150">
        <f t="shared" si="47"/>
        <v>0.5</v>
      </c>
      <c r="N97" s="150">
        <f t="shared" si="47"/>
        <v>0.5</v>
      </c>
      <c r="O97" s="150">
        <f t="shared" si="47"/>
        <v>0.5</v>
      </c>
      <c r="P97" s="150">
        <f t="shared" si="47"/>
        <v>0.5</v>
      </c>
      <c r="Q97" s="150">
        <f t="shared" si="47"/>
        <v>0.5</v>
      </c>
      <c r="R97" s="150">
        <f t="shared" si="47"/>
        <v>0.5</v>
      </c>
      <c r="S97" s="150">
        <f t="shared" si="47"/>
        <v>0.5</v>
      </c>
      <c r="T97" s="150">
        <f t="shared" si="47"/>
        <v>0.5</v>
      </c>
      <c r="U97" s="150">
        <f t="shared" si="47"/>
        <v>0.5</v>
      </c>
      <c r="V97" s="150">
        <f t="shared" si="47"/>
        <v>0.5</v>
      </c>
      <c r="W97" s="150">
        <f t="shared" si="47"/>
        <v>0.5</v>
      </c>
      <c r="X97" s="150">
        <f t="shared" si="47"/>
        <v>0.5</v>
      </c>
      <c r="Y97" s="150">
        <f t="shared" si="47"/>
        <v>0.5</v>
      </c>
      <c r="Z97" s="150">
        <f t="shared" si="47"/>
        <v>0.5</v>
      </c>
      <c r="AA97" s="146">
        <f>SUM(C97:Z97)</f>
        <v>12</v>
      </c>
      <c r="AB97" s="51">
        <f>AA97/1000</f>
        <v>1.2E-2</v>
      </c>
      <c r="AC97" s="86">
        <f>AB97*365</f>
        <v>4.38</v>
      </c>
    </row>
    <row r="98" spans="2:29" ht="15.75" thickBot="1" x14ac:dyDescent="0.3">
      <c r="B98" s="90" t="s">
        <v>117</v>
      </c>
      <c r="C98" s="147">
        <f>SUM(C90:C97)</f>
        <v>0.5</v>
      </c>
      <c r="D98" s="147">
        <f t="shared" ref="D98" si="48">SUM(D90:D97)</f>
        <v>0.5</v>
      </c>
      <c r="E98" s="147">
        <f t="shared" ref="E98" si="49">SUM(E90:E97)</f>
        <v>0.5</v>
      </c>
      <c r="F98" s="147">
        <f t="shared" ref="F98" si="50">SUM(F90:F97)</f>
        <v>0.5</v>
      </c>
      <c r="G98" s="147">
        <f t="shared" ref="G98" si="51">SUM(G90:G97)</f>
        <v>0.5</v>
      </c>
      <c r="H98" s="147">
        <f t="shared" ref="H98" si="52">SUM(H90:H97)</f>
        <v>0.5</v>
      </c>
      <c r="I98" s="147">
        <f t="shared" ref="I98" si="53">SUM(I90:I97)</f>
        <v>0.82800000000000007</v>
      </c>
      <c r="J98" s="147">
        <f t="shared" ref="J98" si="54">SUM(J90:J97)</f>
        <v>0.82800000000000007</v>
      </c>
      <c r="K98" s="147">
        <f t="shared" ref="K98" si="55">SUM(K90:K97)</f>
        <v>1.9405000000000001</v>
      </c>
      <c r="L98" s="147">
        <f t="shared" ref="L98" si="56">SUM(L90:L97)</f>
        <v>1.9405000000000001</v>
      </c>
      <c r="M98" s="147">
        <f t="shared" ref="M98" si="57">SUM(M90:M97)</f>
        <v>1.9405000000000001</v>
      </c>
      <c r="N98" s="147">
        <f t="shared" ref="N98" si="58">SUM(N90:N97)</f>
        <v>2.4325000000000001</v>
      </c>
      <c r="O98" s="147">
        <f t="shared" ref="O98" si="59">SUM(O90:O97)</f>
        <v>1.5449999999999999</v>
      </c>
      <c r="P98" s="147">
        <f t="shared" ref="P98" si="60">SUM(P90:P97)</f>
        <v>1.5449999999999999</v>
      </c>
      <c r="Q98" s="147">
        <f t="shared" ref="Q98" si="61">SUM(Q90:Q97)</f>
        <v>1.5449999999999999</v>
      </c>
      <c r="R98" s="147">
        <f t="shared" ref="R98" si="62">SUM(R90:R97)</f>
        <v>0.61250000000000004</v>
      </c>
      <c r="S98" s="147">
        <f t="shared" ref="S98" si="63">SUM(S90:S97)</f>
        <v>0.61250000000000004</v>
      </c>
      <c r="T98" s="147">
        <f t="shared" ref="T98" si="64">SUM(T90:T97)</f>
        <v>4.54</v>
      </c>
      <c r="U98" s="147">
        <f t="shared" ref="U98" si="65">SUM(U90:U97)</f>
        <v>8.0950000000000006</v>
      </c>
      <c r="V98" s="147">
        <f t="shared" ref="V98" si="66">SUM(V90:V97)</f>
        <v>16.3</v>
      </c>
      <c r="W98" s="147">
        <f t="shared" ref="W98" si="67">SUM(W90:W97)</f>
        <v>23.5</v>
      </c>
      <c r="X98" s="147">
        <f t="shared" ref="X98" si="68">SUM(X90:X97)</f>
        <v>21.355</v>
      </c>
      <c r="Y98" s="147">
        <f t="shared" ref="Y98" si="69">SUM(Y90:Y97)</f>
        <v>11.21</v>
      </c>
      <c r="Z98" s="147">
        <f t="shared" ref="Z98:AC98" si="70">SUM(Z90:Z97)</f>
        <v>2.75</v>
      </c>
      <c r="AA98" s="147">
        <f t="shared" si="70"/>
        <v>106.52</v>
      </c>
      <c r="AB98" s="91">
        <f t="shared" si="70"/>
        <v>0.10651999999999999</v>
      </c>
      <c r="AC98" s="152">
        <f t="shared" si="70"/>
        <v>38.879799999999996</v>
      </c>
    </row>
    <row r="99" spans="2:29" x14ac:dyDescent="0.25">
      <c r="B99" s="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row>
  </sheetData>
  <sheetProtection password="ECBF" sheet="1" objects="1" scenarios="1"/>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B1:AE73"/>
  <sheetViews>
    <sheetView showRowColHeaders="0" zoomScale="85" zoomScaleNormal="85" workbookViewId="0"/>
  </sheetViews>
  <sheetFormatPr defaultColWidth="8.85546875" defaultRowHeight="15" x14ac:dyDescent="0.25"/>
  <cols>
    <col min="1" max="1" width="3.85546875" style="16" customWidth="1"/>
    <col min="2" max="2" width="42.42578125" style="16" customWidth="1"/>
    <col min="3" max="26" width="20.5703125" style="16" customWidth="1"/>
    <col min="27" max="30" width="6.140625" style="16" customWidth="1"/>
    <col min="31" max="31" width="5.5703125" style="16" bestFit="1" customWidth="1"/>
    <col min="32" max="32" width="5.42578125" style="16" bestFit="1" customWidth="1"/>
    <col min="33" max="16384" width="8.85546875" style="16"/>
  </cols>
  <sheetData>
    <row r="1" spans="2:3" ht="31.15" x14ac:dyDescent="0.6">
      <c r="B1" s="59" t="s">
        <v>67</v>
      </c>
    </row>
    <row r="3" spans="2:3" ht="21.6" thickBot="1" x14ac:dyDescent="0.45">
      <c r="B3" s="35" t="s">
        <v>135</v>
      </c>
    </row>
    <row r="4" spans="2:3" ht="29.45" thickBot="1" x14ac:dyDescent="0.35">
      <c r="B4" s="55" t="s">
        <v>11</v>
      </c>
      <c r="C4" s="53" t="s">
        <v>124</v>
      </c>
    </row>
    <row r="5" spans="2:3" ht="14.45" x14ac:dyDescent="0.3">
      <c r="B5" s="56">
        <v>0</v>
      </c>
      <c r="C5" s="216">
        <f>C70</f>
        <v>326.79999999999995</v>
      </c>
    </row>
    <row r="6" spans="2:3" ht="14.45" x14ac:dyDescent="0.3">
      <c r="B6" s="57">
        <v>4.1666666666666699E-2</v>
      </c>
      <c r="C6" s="217">
        <f>D70</f>
        <v>326.79999999999995</v>
      </c>
    </row>
    <row r="7" spans="2:3" ht="14.45" x14ac:dyDescent="0.3">
      <c r="B7" s="57">
        <v>8.3333333333333301E-2</v>
      </c>
      <c r="C7" s="217">
        <f>E70</f>
        <v>326.79999999999995</v>
      </c>
    </row>
    <row r="8" spans="2:3" ht="14.45" x14ac:dyDescent="0.3">
      <c r="B8" s="57">
        <v>0.125</v>
      </c>
      <c r="C8" s="217">
        <f>F70</f>
        <v>326.79999999999995</v>
      </c>
    </row>
    <row r="9" spans="2:3" ht="14.45" x14ac:dyDescent="0.3">
      <c r="B9" s="57">
        <v>0.16666666666666699</v>
      </c>
      <c r="C9" s="217">
        <f>G70</f>
        <v>326.79999999999995</v>
      </c>
    </row>
    <row r="10" spans="2:3" ht="14.45" x14ac:dyDescent="0.3">
      <c r="B10" s="57">
        <v>0.20833333333333301</v>
      </c>
      <c r="C10" s="217">
        <f>H70</f>
        <v>326.79999999999995</v>
      </c>
    </row>
    <row r="11" spans="2:3" ht="14.45" x14ac:dyDescent="0.3">
      <c r="B11" s="57">
        <v>0.25</v>
      </c>
      <c r="C11" s="217">
        <f>I70</f>
        <v>514.79999999999995</v>
      </c>
    </row>
    <row r="12" spans="2:3" ht="14.45" x14ac:dyDescent="0.3">
      <c r="B12" s="57">
        <v>0.29166666666666702</v>
      </c>
      <c r="C12" s="217">
        <f>J70</f>
        <v>835.59999999999991</v>
      </c>
    </row>
    <row r="13" spans="2:3" ht="14.45" x14ac:dyDescent="0.3">
      <c r="B13" s="57">
        <v>0.33333333333333298</v>
      </c>
      <c r="C13" s="217">
        <f>K70</f>
        <v>952</v>
      </c>
    </row>
    <row r="14" spans="2:3" ht="14.45" x14ac:dyDescent="0.3">
      <c r="B14" s="57">
        <v>0.375</v>
      </c>
      <c r="C14" s="217">
        <f>L70</f>
        <v>1076.5999999999999</v>
      </c>
    </row>
    <row r="15" spans="2:3" ht="14.45" x14ac:dyDescent="0.3">
      <c r="B15" s="57">
        <v>0.41666666666666702</v>
      </c>
      <c r="C15" s="217">
        <f>M70</f>
        <v>1076.5999999999999</v>
      </c>
    </row>
    <row r="16" spans="2:3" ht="14.45" x14ac:dyDescent="0.3">
      <c r="B16" s="57">
        <v>0.45833333333333298</v>
      </c>
      <c r="C16" s="217">
        <f>N70</f>
        <v>1076.5999999999999</v>
      </c>
    </row>
    <row r="17" spans="2:3" ht="14.45" x14ac:dyDescent="0.3">
      <c r="B17" s="57">
        <v>0.5</v>
      </c>
      <c r="C17" s="217">
        <f>O70</f>
        <v>1076.5999999999999</v>
      </c>
    </row>
    <row r="18" spans="2:3" ht="14.45" x14ac:dyDescent="0.3">
      <c r="B18" s="57">
        <v>0.54166666666666696</v>
      </c>
      <c r="C18" s="217">
        <f>P70</f>
        <v>1076.5999999999999</v>
      </c>
    </row>
    <row r="19" spans="2:3" ht="14.45" x14ac:dyDescent="0.3">
      <c r="B19" s="57">
        <v>0.58333333333333304</v>
      </c>
      <c r="C19" s="217">
        <f>Q70</f>
        <v>1076.5999999999999</v>
      </c>
    </row>
    <row r="20" spans="2:3" ht="14.45" x14ac:dyDescent="0.3">
      <c r="B20" s="57">
        <v>0.625</v>
      </c>
      <c r="C20" s="217">
        <f>R70</f>
        <v>1076.5999999999999</v>
      </c>
    </row>
    <row r="21" spans="2:3" ht="14.45" x14ac:dyDescent="0.3">
      <c r="B21" s="57">
        <v>0.66666666666666696</v>
      </c>
      <c r="C21" s="217">
        <f>S70</f>
        <v>1021.4000000000001</v>
      </c>
    </row>
    <row r="22" spans="2:3" ht="14.45" x14ac:dyDescent="0.3">
      <c r="B22" s="57">
        <v>0.70833333333333304</v>
      </c>
      <c r="C22" s="217">
        <f>T70</f>
        <v>692.40000000000009</v>
      </c>
    </row>
    <row r="23" spans="2:3" ht="14.45" x14ac:dyDescent="0.3">
      <c r="B23" s="57">
        <v>0.75</v>
      </c>
      <c r="C23" s="217">
        <f>U70</f>
        <v>598.40000000000009</v>
      </c>
    </row>
    <row r="24" spans="2:3" ht="14.45" x14ac:dyDescent="0.3">
      <c r="B24" s="57">
        <v>0.79166666666666696</v>
      </c>
      <c r="C24" s="217">
        <f>V70</f>
        <v>637.19999999999993</v>
      </c>
    </row>
    <row r="25" spans="2:3" ht="14.45" x14ac:dyDescent="0.3">
      <c r="B25" s="57">
        <v>0.83333333333333304</v>
      </c>
      <c r="C25" s="217">
        <f>W70</f>
        <v>637.19999999999993</v>
      </c>
    </row>
    <row r="26" spans="2:3" ht="14.45" x14ac:dyDescent="0.3">
      <c r="B26" s="57">
        <v>0.875</v>
      </c>
      <c r="C26" s="217">
        <f>X70</f>
        <v>637.19999999999993</v>
      </c>
    </row>
    <row r="27" spans="2:3" ht="14.45" x14ac:dyDescent="0.3">
      <c r="B27" s="57">
        <v>0.91666666666666696</v>
      </c>
      <c r="C27" s="217">
        <f>Y70</f>
        <v>482</v>
      </c>
    </row>
    <row r="28" spans="2:3" ht="15.75" thickBot="1" x14ac:dyDescent="0.3">
      <c r="B28" s="58">
        <v>0.95833333333333304</v>
      </c>
      <c r="C28" s="218">
        <f>Z70</f>
        <v>326.79999999999995</v>
      </c>
    </row>
    <row r="29" spans="2:3" x14ac:dyDescent="0.25">
      <c r="B29" s="162" t="s">
        <v>120</v>
      </c>
      <c r="C29" s="180">
        <f>SUM(C5:C28)/1000</f>
        <v>16.832000000000004</v>
      </c>
    </row>
    <row r="30" spans="2:3" ht="15.75" thickBot="1" x14ac:dyDescent="0.3">
      <c r="B30" s="163" t="s">
        <v>121</v>
      </c>
      <c r="C30" s="179">
        <f>(365*C29)</f>
        <v>6143.6800000000012</v>
      </c>
    </row>
    <row r="32" spans="2:3" ht="21.75" thickBot="1" x14ac:dyDescent="0.4">
      <c r="B32" s="35" t="s">
        <v>133</v>
      </c>
    </row>
    <row r="33" spans="2:16" s="18" customFormat="1" ht="45.75" thickBot="1" x14ac:dyDescent="0.3">
      <c r="B33" s="208" t="s">
        <v>132</v>
      </c>
      <c r="C33" s="52" t="s">
        <v>20</v>
      </c>
      <c r="D33" s="52" t="s">
        <v>28</v>
      </c>
      <c r="E33" s="53" t="s">
        <v>17</v>
      </c>
    </row>
    <row r="34" spans="2:16" ht="17.25" x14ac:dyDescent="0.25">
      <c r="B34" s="190" t="s">
        <v>125</v>
      </c>
      <c r="C34" s="192">
        <v>217</v>
      </c>
      <c r="D34" s="206">
        <v>985</v>
      </c>
      <c r="E34" s="207">
        <f t="shared" ref="E34:E39" si="0">(D34*C34)/1000</f>
        <v>213.745</v>
      </c>
      <c r="F34" s="186"/>
    </row>
    <row r="35" spans="2:16" ht="17.25" x14ac:dyDescent="0.25">
      <c r="B35" s="9" t="s">
        <v>126</v>
      </c>
      <c r="C35" s="7">
        <v>217</v>
      </c>
      <c r="D35" s="202">
        <v>985</v>
      </c>
      <c r="E35" s="203">
        <f t="shared" si="0"/>
        <v>213.745</v>
      </c>
      <c r="F35" s="186"/>
    </row>
    <row r="36" spans="2:16" ht="17.25" x14ac:dyDescent="0.25">
      <c r="B36" s="9" t="s">
        <v>127</v>
      </c>
      <c r="C36" s="7">
        <v>261</v>
      </c>
      <c r="D36" s="202">
        <v>388</v>
      </c>
      <c r="E36" s="203">
        <f t="shared" si="0"/>
        <v>101.268</v>
      </c>
      <c r="F36" s="186"/>
    </row>
    <row r="37" spans="2:16" ht="17.25" x14ac:dyDescent="0.25">
      <c r="B37" s="9" t="s">
        <v>128</v>
      </c>
      <c r="C37" s="7">
        <v>174</v>
      </c>
      <c r="D37" s="202">
        <v>940</v>
      </c>
      <c r="E37" s="203">
        <f t="shared" si="0"/>
        <v>163.56</v>
      </c>
      <c r="F37" s="186"/>
    </row>
    <row r="38" spans="2:16" ht="17.25" x14ac:dyDescent="0.25">
      <c r="B38" s="9" t="s">
        <v>129</v>
      </c>
      <c r="C38" s="7">
        <v>174</v>
      </c>
      <c r="D38" s="202">
        <v>320</v>
      </c>
      <c r="E38" s="203">
        <f t="shared" si="0"/>
        <v>55.68</v>
      </c>
      <c r="F38" s="186"/>
    </row>
    <row r="39" spans="2:16" ht="18" thickBot="1" x14ac:dyDescent="0.3">
      <c r="B39" s="187" t="s">
        <v>130</v>
      </c>
      <c r="C39" s="10">
        <v>217</v>
      </c>
      <c r="D39" s="204">
        <v>20</v>
      </c>
      <c r="E39" s="205">
        <f t="shared" si="0"/>
        <v>4.34</v>
      </c>
      <c r="F39" s="186"/>
    </row>
    <row r="40" spans="2:16" ht="15.75" x14ac:dyDescent="0.25">
      <c r="B40" s="165" t="s">
        <v>137</v>
      </c>
      <c r="C40" s="126"/>
      <c r="D40" s="126"/>
      <c r="E40" s="184"/>
      <c r="F40" s="126"/>
      <c r="G40" s="126"/>
      <c r="H40" s="127"/>
      <c r="I40" s="46"/>
      <c r="J40" s="46"/>
      <c r="K40" s="185"/>
      <c r="L40" s="186"/>
      <c r="M40" s="186"/>
      <c r="N40" s="186"/>
      <c r="O40" s="186"/>
      <c r="P40" s="186"/>
    </row>
    <row r="41" spans="2:16" ht="15.75" x14ac:dyDescent="0.25">
      <c r="B41" s="165" t="s">
        <v>138</v>
      </c>
      <c r="C41" s="126"/>
      <c r="D41" s="126"/>
      <c r="E41" s="184"/>
      <c r="F41" s="126"/>
      <c r="G41" s="126"/>
      <c r="H41" s="127"/>
      <c r="I41" s="46"/>
      <c r="J41" s="46"/>
      <c r="K41" s="185"/>
      <c r="L41" s="186"/>
      <c r="M41" s="186"/>
      <c r="N41" s="186"/>
      <c r="O41" s="186"/>
      <c r="P41" s="186"/>
    </row>
    <row r="43" spans="2:16" s="18" customFormat="1" ht="21.75" thickBot="1" x14ac:dyDescent="0.4">
      <c r="B43" s="35" t="s">
        <v>93</v>
      </c>
      <c r="C43" s="35"/>
      <c r="D43" s="16"/>
      <c r="E43" s="16"/>
      <c r="F43" s="16"/>
    </row>
    <row r="44" spans="2:16" s="5" customFormat="1" ht="45.75" thickBot="1" x14ac:dyDescent="0.3">
      <c r="B44" s="195" t="s">
        <v>23</v>
      </c>
      <c r="C44" s="196" t="s">
        <v>5</v>
      </c>
      <c r="D44" s="52" t="s">
        <v>21</v>
      </c>
      <c r="E44" s="52" t="s">
        <v>22</v>
      </c>
      <c r="F44" s="53" t="s">
        <v>28</v>
      </c>
    </row>
    <row r="45" spans="2:16" s="5" customFormat="1" x14ac:dyDescent="0.25">
      <c r="B45" s="190" t="s">
        <v>14</v>
      </c>
      <c r="C45" s="191">
        <f>'Inputs&amp;OutputSummary'!C15</f>
        <v>0</v>
      </c>
      <c r="D45" s="197">
        <f>(E45*F45)/1000</f>
        <v>9.8499999999999979</v>
      </c>
      <c r="E45" s="193">
        <f t="shared" ref="E45:E50" si="1">SUM(C55:Z55)</f>
        <v>9.9999999999999982</v>
      </c>
      <c r="F45" s="194">
        <f t="shared" ref="F45:F50" si="2">D34</f>
        <v>985</v>
      </c>
    </row>
    <row r="46" spans="2:16" s="5" customFormat="1" x14ac:dyDescent="0.25">
      <c r="B46" s="9" t="s">
        <v>15</v>
      </c>
      <c r="C46" s="12">
        <f>'Inputs&amp;OutputSummary'!C16</f>
        <v>0</v>
      </c>
      <c r="D46" s="198">
        <f t="shared" ref="D46:D50" si="3">(E46*F46)/1000</f>
        <v>9.8500000000000014</v>
      </c>
      <c r="E46" s="8">
        <f t="shared" si="1"/>
        <v>10.000000000000002</v>
      </c>
      <c r="F46" s="11">
        <f t="shared" si="2"/>
        <v>985</v>
      </c>
    </row>
    <row r="47" spans="2:16" s="5" customFormat="1" x14ac:dyDescent="0.25">
      <c r="B47" s="9" t="s">
        <v>16</v>
      </c>
      <c r="C47" s="12">
        <f>'Inputs&amp;OutputSummary'!C17</f>
        <v>2</v>
      </c>
      <c r="D47" s="198">
        <f t="shared" si="3"/>
        <v>4.6559999999999988</v>
      </c>
      <c r="E47" s="8">
        <f t="shared" si="1"/>
        <v>11.999999999999998</v>
      </c>
      <c r="F47" s="11">
        <f t="shared" si="2"/>
        <v>388</v>
      </c>
    </row>
    <row r="48" spans="2:16" s="5" customFormat="1" x14ac:dyDescent="0.25">
      <c r="B48" s="9" t="s">
        <v>24</v>
      </c>
      <c r="C48" s="12">
        <f>'Inputs&amp;OutputSummary'!C18</f>
        <v>1</v>
      </c>
      <c r="D48" s="198">
        <f t="shared" si="3"/>
        <v>7.5199999999999987</v>
      </c>
      <c r="E48" s="8">
        <f t="shared" si="1"/>
        <v>7.9999999999999991</v>
      </c>
      <c r="F48" s="11">
        <f t="shared" si="2"/>
        <v>940</v>
      </c>
    </row>
    <row r="49" spans="2:31" s="5" customFormat="1" x14ac:dyDescent="0.25">
      <c r="B49" s="9" t="s">
        <v>25</v>
      </c>
      <c r="C49" s="12">
        <f>'Inputs&amp;OutputSummary'!C19</f>
        <v>0</v>
      </c>
      <c r="D49" s="198">
        <f t="shared" si="3"/>
        <v>2.5599999999999996</v>
      </c>
      <c r="E49" s="8">
        <f t="shared" si="1"/>
        <v>7.9999999999999991</v>
      </c>
      <c r="F49" s="11">
        <f t="shared" si="2"/>
        <v>320</v>
      </c>
    </row>
    <row r="50" spans="2:31" s="5" customFormat="1" x14ac:dyDescent="0.25">
      <c r="B50" s="9" t="s">
        <v>26</v>
      </c>
      <c r="C50" s="12">
        <f>'Inputs&amp;OutputSummary'!C20</f>
        <v>0</v>
      </c>
      <c r="D50" s="198">
        <f t="shared" si="3"/>
        <v>0.2</v>
      </c>
      <c r="E50" s="8">
        <f t="shared" si="1"/>
        <v>10</v>
      </c>
      <c r="F50" s="11">
        <f t="shared" si="2"/>
        <v>20</v>
      </c>
    </row>
    <row r="51" spans="2:31" s="5" customFormat="1" ht="15.75" thickBot="1" x14ac:dyDescent="0.3">
      <c r="B51" s="13" t="s">
        <v>10</v>
      </c>
      <c r="C51" s="14">
        <f>SUM(C45:C48)</f>
        <v>3</v>
      </c>
      <c r="D51" s="199">
        <f>SUM(D45:D48)</f>
        <v>31.875999999999998</v>
      </c>
      <c r="E51" s="14">
        <f>SUM(E45:E48)</f>
        <v>40</v>
      </c>
      <c r="F51" s="15">
        <f>SUM(F45:F50)</f>
        <v>3638</v>
      </c>
      <c r="G51" s="124"/>
    </row>
    <row r="52" spans="2:31" s="5" customFormat="1" x14ac:dyDescent="0.25">
      <c r="B52" s="182"/>
      <c r="C52" s="182"/>
      <c r="D52" s="183"/>
      <c r="E52" s="182"/>
      <c r="F52" s="182"/>
      <c r="G52" s="124"/>
    </row>
    <row r="53" spans="2:31" s="5" customFormat="1" ht="21.75" thickBot="1" x14ac:dyDescent="0.4">
      <c r="B53" s="35" t="s">
        <v>131</v>
      </c>
      <c r="C53" s="124"/>
      <c r="D53" s="126"/>
      <c r="F53" s="127"/>
      <c r="G53" s="124"/>
    </row>
    <row r="54" spans="2:31" s="5" customFormat="1" ht="15.75" thickBot="1" x14ac:dyDescent="0.3">
      <c r="B54" s="209"/>
      <c r="C54" s="210">
        <v>0</v>
      </c>
      <c r="D54" s="210">
        <v>4.1666666666666699E-2</v>
      </c>
      <c r="E54" s="210">
        <v>8.3333333333333301E-2</v>
      </c>
      <c r="F54" s="210">
        <v>0.125</v>
      </c>
      <c r="G54" s="210">
        <v>0.16666666666666699</v>
      </c>
      <c r="H54" s="210">
        <v>0.20833333333333301</v>
      </c>
      <c r="I54" s="210">
        <v>0.25</v>
      </c>
      <c r="J54" s="210">
        <v>0.29166666666666702</v>
      </c>
      <c r="K54" s="210">
        <v>0.33333333333333298</v>
      </c>
      <c r="L54" s="210">
        <v>0.375</v>
      </c>
      <c r="M54" s="210">
        <v>0.41666666666666702</v>
      </c>
      <c r="N54" s="210">
        <v>0.45833333333333298</v>
      </c>
      <c r="O54" s="210">
        <v>0.5</v>
      </c>
      <c r="P54" s="210">
        <v>0.54166666666666696</v>
      </c>
      <c r="Q54" s="210">
        <v>0.58333333333333304</v>
      </c>
      <c r="R54" s="210">
        <v>0.625</v>
      </c>
      <c r="S54" s="210">
        <v>0.66666666666666696</v>
      </c>
      <c r="T54" s="210">
        <v>0.70833333333333304</v>
      </c>
      <c r="U54" s="210">
        <v>0.75</v>
      </c>
      <c r="V54" s="210">
        <v>0.79166666666666696</v>
      </c>
      <c r="W54" s="210">
        <v>0.83333333333333304</v>
      </c>
      <c r="X54" s="210">
        <v>0.875</v>
      </c>
      <c r="Y54" s="210">
        <v>0.91666666666666696</v>
      </c>
      <c r="Z54" s="211">
        <v>0.95833333333333304</v>
      </c>
    </row>
    <row r="55" spans="2:31" s="5" customFormat="1" x14ac:dyDescent="0.25">
      <c r="B55" s="190" t="s">
        <v>14</v>
      </c>
      <c r="C55" s="200">
        <v>0.1</v>
      </c>
      <c r="D55" s="200">
        <v>0.1</v>
      </c>
      <c r="E55" s="200">
        <v>0.1</v>
      </c>
      <c r="F55" s="200">
        <v>0.2</v>
      </c>
      <c r="G55" s="200">
        <v>0.3</v>
      </c>
      <c r="H55" s="200">
        <v>0.4</v>
      </c>
      <c r="I55" s="200">
        <v>0.5</v>
      </c>
      <c r="J55" s="200">
        <v>0.6</v>
      </c>
      <c r="K55" s="200">
        <v>0.7</v>
      </c>
      <c r="L55" s="200">
        <v>0.7</v>
      </c>
      <c r="M55" s="200">
        <v>0.7</v>
      </c>
      <c r="N55" s="200">
        <v>0.6</v>
      </c>
      <c r="O55" s="200">
        <v>0.5</v>
      </c>
      <c r="P55" s="200">
        <v>0.5</v>
      </c>
      <c r="Q55" s="200">
        <v>0.6</v>
      </c>
      <c r="R55" s="200">
        <v>0.6</v>
      </c>
      <c r="S55" s="200">
        <v>0.7</v>
      </c>
      <c r="T55" s="200">
        <v>0.7</v>
      </c>
      <c r="U55" s="200">
        <v>0.5</v>
      </c>
      <c r="V55" s="200">
        <v>0.4</v>
      </c>
      <c r="W55" s="200">
        <v>0.2</v>
      </c>
      <c r="X55" s="200">
        <v>0.1</v>
      </c>
      <c r="Y55" s="200">
        <v>0.1</v>
      </c>
      <c r="Z55" s="201">
        <v>0.1</v>
      </c>
    </row>
    <row r="56" spans="2:31" s="5" customFormat="1" x14ac:dyDescent="0.25">
      <c r="B56" s="9" t="s">
        <v>15</v>
      </c>
      <c r="C56" s="128">
        <v>0.05</v>
      </c>
      <c r="D56" s="128">
        <v>0.05</v>
      </c>
      <c r="E56" s="128">
        <v>0.05</v>
      </c>
      <c r="F56" s="128">
        <v>0.05</v>
      </c>
      <c r="G56" s="128">
        <v>0.1</v>
      </c>
      <c r="H56" s="128">
        <v>0.2</v>
      </c>
      <c r="I56" s="128">
        <v>0.4</v>
      </c>
      <c r="J56" s="128">
        <v>0.5</v>
      </c>
      <c r="K56" s="128">
        <v>0.6</v>
      </c>
      <c r="L56" s="128">
        <v>0.7</v>
      </c>
      <c r="M56" s="128">
        <v>0.9</v>
      </c>
      <c r="N56" s="128">
        <v>0.9</v>
      </c>
      <c r="O56" s="128">
        <v>0.7</v>
      </c>
      <c r="P56" s="128">
        <v>0.7</v>
      </c>
      <c r="Q56" s="128">
        <v>0.9</v>
      </c>
      <c r="R56" s="128">
        <v>0.8</v>
      </c>
      <c r="S56" s="128">
        <v>0.7</v>
      </c>
      <c r="T56" s="128">
        <v>0.6</v>
      </c>
      <c r="U56" s="128">
        <v>0.5</v>
      </c>
      <c r="V56" s="128">
        <v>0.3</v>
      </c>
      <c r="W56" s="128">
        <v>0.1</v>
      </c>
      <c r="X56" s="128">
        <v>0.1</v>
      </c>
      <c r="Y56" s="128">
        <v>0.05</v>
      </c>
      <c r="Z56" s="129">
        <v>0.05</v>
      </c>
    </row>
    <row r="57" spans="2:31" s="5" customFormat="1" x14ac:dyDescent="0.25">
      <c r="B57" s="9" t="s">
        <v>18</v>
      </c>
      <c r="C57" s="128">
        <v>0.3</v>
      </c>
      <c r="D57" s="128">
        <v>0.3</v>
      </c>
      <c r="E57" s="128">
        <v>0.3</v>
      </c>
      <c r="F57" s="128">
        <v>0.3</v>
      </c>
      <c r="G57" s="128">
        <v>0.3</v>
      </c>
      <c r="H57" s="128">
        <v>0.3</v>
      </c>
      <c r="I57" s="128">
        <v>0.3</v>
      </c>
      <c r="J57" s="128">
        <v>0.35</v>
      </c>
      <c r="K57" s="128">
        <v>0.5</v>
      </c>
      <c r="L57" s="128">
        <v>0.6</v>
      </c>
      <c r="M57" s="128">
        <v>0.6</v>
      </c>
      <c r="N57" s="128">
        <v>0.6</v>
      </c>
      <c r="O57" s="128">
        <v>0.6</v>
      </c>
      <c r="P57" s="128">
        <v>0.6</v>
      </c>
      <c r="Q57" s="128">
        <v>0.6</v>
      </c>
      <c r="R57" s="128">
        <v>0.6</v>
      </c>
      <c r="S57" s="128">
        <v>0.65</v>
      </c>
      <c r="T57" s="128">
        <v>0.65</v>
      </c>
      <c r="U57" s="128">
        <v>0.65</v>
      </c>
      <c r="V57" s="128">
        <v>0.7</v>
      </c>
      <c r="W57" s="128">
        <v>0.7</v>
      </c>
      <c r="X57" s="128">
        <v>0.7</v>
      </c>
      <c r="Y57" s="128">
        <v>0.5</v>
      </c>
      <c r="Z57" s="129">
        <v>0.3</v>
      </c>
    </row>
    <row r="58" spans="2:31" s="5" customFormat="1" x14ac:dyDescent="0.25">
      <c r="B58" s="9" t="s">
        <v>19</v>
      </c>
      <c r="C58" s="128">
        <v>0.1</v>
      </c>
      <c r="D58" s="128">
        <v>0.1</v>
      </c>
      <c r="E58" s="128">
        <v>0.1</v>
      </c>
      <c r="F58" s="128">
        <v>0.1</v>
      </c>
      <c r="G58" s="128">
        <v>0.1</v>
      </c>
      <c r="H58" s="128">
        <v>0.1</v>
      </c>
      <c r="I58" s="128">
        <v>0.3</v>
      </c>
      <c r="J58" s="128">
        <v>0.6</v>
      </c>
      <c r="K58" s="128">
        <v>0.6</v>
      </c>
      <c r="L58" s="128">
        <v>0.65</v>
      </c>
      <c r="M58" s="128">
        <v>0.65</v>
      </c>
      <c r="N58" s="128">
        <v>0.65</v>
      </c>
      <c r="O58" s="128">
        <v>0.65</v>
      </c>
      <c r="P58" s="128">
        <v>0.65</v>
      </c>
      <c r="Q58" s="128">
        <v>0.65</v>
      </c>
      <c r="R58" s="128">
        <v>0.65</v>
      </c>
      <c r="S58" s="128">
        <v>0.55000000000000004</v>
      </c>
      <c r="T58" s="128">
        <v>0.2</v>
      </c>
      <c r="U58" s="128">
        <v>0.1</v>
      </c>
      <c r="V58" s="128">
        <v>0.1</v>
      </c>
      <c r="W58" s="128">
        <v>0.1</v>
      </c>
      <c r="X58" s="128">
        <v>0.1</v>
      </c>
      <c r="Y58" s="128">
        <v>0.1</v>
      </c>
      <c r="Z58" s="129">
        <v>0.1</v>
      </c>
    </row>
    <row r="59" spans="2:31" s="5" customFormat="1" x14ac:dyDescent="0.25">
      <c r="B59" s="9" t="s">
        <v>27</v>
      </c>
      <c r="C59" s="128">
        <v>0.1</v>
      </c>
      <c r="D59" s="128">
        <v>0.1</v>
      </c>
      <c r="E59" s="128">
        <v>0.1</v>
      </c>
      <c r="F59" s="128">
        <v>0.1</v>
      </c>
      <c r="G59" s="128">
        <v>0.1</v>
      </c>
      <c r="H59" s="128">
        <v>0.1</v>
      </c>
      <c r="I59" s="128">
        <v>0.3</v>
      </c>
      <c r="J59" s="128">
        <v>0.6</v>
      </c>
      <c r="K59" s="128">
        <v>0.6</v>
      </c>
      <c r="L59" s="128">
        <v>0.65</v>
      </c>
      <c r="M59" s="128">
        <v>0.65</v>
      </c>
      <c r="N59" s="128">
        <v>0.65</v>
      </c>
      <c r="O59" s="128">
        <v>0.65</v>
      </c>
      <c r="P59" s="128">
        <v>0.65</v>
      </c>
      <c r="Q59" s="128">
        <v>0.65</v>
      </c>
      <c r="R59" s="128">
        <v>0.65</v>
      </c>
      <c r="S59" s="128">
        <v>0.55000000000000004</v>
      </c>
      <c r="T59" s="128">
        <v>0.2</v>
      </c>
      <c r="U59" s="128">
        <v>0.1</v>
      </c>
      <c r="V59" s="128">
        <v>0.1</v>
      </c>
      <c r="W59" s="128">
        <v>0.1</v>
      </c>
      <c r="X59" s="128">
        <v>0.1</v>
      </c>
      <c r="Y59" s="128">
        <v>0.1</v>
      </c>
      <c r="Z59" s="129">
        <v>0.1</v>
      </c>
    </row>
    <row r="60" spans="2:31" s="5" customFormat="1" ht="15.75" thickBot="1" x14ac:dyDescent="0.3">
      <c r="B60" s="187" t="s">
        <v>26</v>
      </c>
      <c r="C60" s="188">
        <v>1</v>
      </c>
      <c r="D60" s="188">
        <v>1</v>
      </c>
      <c r="E60" s="188">
        <v>1</v>
      </c>
      <c r="F60" s="188">
        <v>1</v>
      </c>
      <c r="G60" s="188">
        <v>1</v>
      </c>
      <c r="H60" s="188">
        <v>0.5</v>
      </c>
      <c r="I60" s="188">
        <v>0</v>
      </c>
      <c r="J60" s="188">
        <v>0</v>
      </c>
      <c r="K60" s="188">
        <v>0</v>
      </c>
      <c r="L60" s="188">
        <v>0</v>
      </c>
      <c r="M60" s="188">
        <v>0</v>
      </c>
      <c r="N60" s="188">
        <v>0</v>
      </c>
      <c r="O60" s="188">
        <v>0</v>
      </c>
      <c r="P60" s="188">
        <v>0</v>
      </c>
      <c r="Q60" s="188">
        <v>0</v>
      </c>
      <c r="R60" s="188">
        <v>0</v>
      </c>
      <c r="S60" s="188">
        <v>0</v>
      </c>
      <c r="T60" s="188">
        <v>0</v>
      </c>
      <c r="U60" s="188">
        <v>0</v>
      </c>
      <c r="V60" s="188">
        <v>0.5</v>
      </c>
      <c r="W60" s="188">
        <v>1</v>
      </c>
      <c r="X60" s="188">
        <v>1</v>
      </c>
      <c r="Y60" s="188">
        <v>1</v>
      </c>
      <c r="Z60" s="189">
        <v>1</v>
      </c>
    </row>
    <row r="61" spans="2:31" s="5" customFormat="1" x14ac:dyDescent="0.25">
      <c r="B61" s="124"/>
      <c r="C61" s="124"/>
    </row>
    <row r="62" spans="2:31" s="5" customFormat="1" ht="21.75" thickBot="1" x14ac:dyDescent="0.4">
      <c r="B62" s="35" t="s">
        <v>136</v>
      </c>
      <c r="C62" s="124"/>
      <c r="D62" s="126"/>
      <c r="F62" s="127"/>
      <c r="G62" s="124"/>
    </row>
    <row r="63" spans="2:31" s="5" customFormat="1" x14ac:dyDescent="0.25">
      <c r="B63" s="61"/>
      <c r="C63" s="212">
        <v>0</v>
      </c>
      <c r="D63" s="212">
        <v>4.1666666666666699E-2</v>
      </c>
      <c r="E63" s="212">
        <v>8.3333333333333301E-2</v>
      </c>
      <c r="F63" s="212">
        <v>0.125</v>
      </c>
      <c r="G63" s="212">
        <v>0.16666666666666699</v>
      </c>
      <c r="H63" s="212">
        <v>0.20833333333333301</v>
      </c>
      <c r="I63" s="212">
        <v>0.25</v>
      </c>
      <c r="J63" s="212">
        <v>0.29166666666666702</v>
      </c>
      <c r="K63" s="212">
        <v>0.33333333333333298</v>
      </c>
      <c r="L63" s="212">
        <v>0.375</v>
      </c>
      <c r="M63" s="212">
        <v>0.41666666666666702</v>
      </c>
      <c r="N63" s="212">
        <v>0.45833333333333298</v>
      </c>
      <c r="O63" s="212">
        <v>0.5</v>
      </c>
      <c r="P63" s="212">
        <v>0.54166666666666696</v>
      </c>
      <c r="Q63" s="212">
        <v>0.58333333333333304</v>
      </c>
      <c r="R63" s="212">
        <v>0.625</v>
      </c>
      <c r="S63" s="212">
        <v>0.66666666666666696</v>
      </c>
      <c r="T63" s="212">
        <v>0.70833333333333304</v>
      </c>
      <c r="U63" s="212">
        <v>0.75</v>
      </c>
      <c r="V63" s="212">
        <v>0.79166666666666696</v>
      </c>
      <c r="W63" s="212">
        <v>0.83333333333333304</v>
      </c>
      <c r="X63" s="212">
        <v>0.875</v>
      </c>
      <c r="Y63" s="212">
        <v>0.91666666666666696</v>
      </c>
      <c r="Z63" s="213">
        <v>0.95833333333333304</v>
      </c>
    </row>
    <row r="64" spans="2:31" s="5" customFormat="1" x14ac:dyDescent="0.25">
      <c r="B64" s="9" t="s">
        <v>14</v>
      </c>
      <c r="C64" s="214">
        <f t="shared" ref="C64:Z64" si="4">($C$45*C55*$F$45)</f>
        <v>0</v>
      </c>
      <c r="D64" s="214">
        <f t="shared" si="4"/>
        <v>0</v>
      </c>
      <c r="E64" s="214">
        <f t="shared" si="4"/>
        <v>0</v>
      </c>
      <c r="F64" s="214">
        <f t="shared" si="4"/>
        <v>0</v>
      </c>
      <c r="G64" s="214">
        <f t="shared" si="4"/>
        <v>0</v>
      </c>
      <c r="H64" s="214">
        <f t="shared" si="4"/>
        <v>0</v>
      </c>
      <c r="I64" s="214">
        <f t="shared" si="4"/>
        <v>0</v>
      </c>
      <c r="J64" s="214">
        <f t="shared" si="4"/>
        <v>0</v>
      </c>
      <c r="K64" s="214">
        <f t="shared" si="4"/>
        <v>0</v>
      </c>
      <c r="L64" s="214">
        <f t="shared" si="4"/>
        <v>0</v>
      </c>
      <c r="M64" s="214">
        <f t="shared" si="4"/>
        <v>0</v>
      </c>
      <c r="N64" s="214">
        <f t="shared" si="4"/>
        <v>0</v>
      </c>
      <c r="O64" s="214">
        <f t="shared" si="4"/>
        <v>0</v>
      </c>
      <c r="P64" s="214">
        <f t="shared" si="4"/>
        <v>0</v>
      </c>
      <c r="Q64" s="214">
        <f t="shared" si="4"/>
        <v>0</v>
      </c>
      <c r="R64" s="214">
        <f t="shared" si="4"/>
        <v>0</v>
      </c>
      <c r="S64" s="214">
        <f t="shared" si="4"/>
        <v>0</v>
      </c>
      <c r="T64" s="214">
        <f t="shared" si="4"/>
        <v>0</v>
      </c>
      <c r="U64" s="214">
        <f t="shared" si="4"/>
        <v>0</v>
      </c>
      <c r="V64" s="214">
        <f t="shared" si="4"/>
        <v>0</v>
      </c>
      <c r="W64" s="214">
        <f t="shared" si="4"/>
        <v>0</v>
      </c>
      <c r="X64" s="214">
        <f t="shared" si="4"/>
        <v>0</v>
      </c>
      <c r="Y64" s="214">
        <f t="shared" si="4"/>
        <v>0</v>
      </c>
      <c r="Z64" s="214">
        <f t="shared" si="4"/>
        <v>0</v>
      </c>
      <c r="AA64" s="16"/>
      <c r="AB64" s="16"/>
      <c r="AC64" s="16"/>
      <c r="AD64" s="16"/>
      <c r="AE64" s="16"/>
    </row>
    <row r="65" spans="2:26" s="5" customFormat="1" x14ac:dyDescent="0.25">
      <c r="B65" s="9" t="s">
        <v>15</v>
      </c>
      <c r="C65" s="214">
        <f t="shared" ref="C65:Z65" si="5">($C$46*C56*$F$46)</f>
        <v>0</v>
      </c>
      <c r="D65" s="214">
        <f t="shared" si="5"/>
        <v>0</v>
      </c>
      <c r="E65" s="214">
        <f t="shared" si="5"/>
        <v>0</v>
      </c>
      <c r="F65" s="214">
        <f t="shared" si="5"/>
        <v>0</v>
      </c>
      <c r="G65" s="214">
        <f t="shared" si="5"/>
        <v>0</v>
      </c>
      <c r="H65" s="214">
        <f t="shared" si="5"/>
        <v>0</v>
      </c>
      <c r="I65" s="214">
        <f t="shared" si="5"/>
        <v>0</v>
      </c>
      <c r="J65" s="214">
        <f t="shared" si="5"/>
        <v>0</v>
      </c>
      <c r="K65" s="214">
        <f t="shared" si="5"/>
        <v>0</v>
      </c>
      <c r="L65" s="214">
        <f t="shared" si="5"/>
        <v>0</v>
      </c>
      <c r="M65" s="214">
        <f t="shared" si="5"/>
        <v>0</v>
      </c>
      <c r="N65" s="214">
        <f t="shared" si="5"/>
        <v>0</v>
      </c>
      <c r="O65" s="214">
        <f t="shared" si="5"/>
        <v>0</v>
      </c>
      <c r="P65" s="214">
        <f t="shared" si="5"/>
        <v>0</v>
      </c>
      <c r="Q65" s="214">
        <f t="shared" si="5"/>
        <v>0</v>
      </c>
      <c r="R65" s="214">
        <f t="shared" si="5"/>
        <v>0</v>
      </c>
      <c r="S65" s="214">
        <f t="shared" si="5"/>
        <v>0</v>
      </c>
      <c r="T65" s="214">
        <f t="shared" si="5"/>
        <v>0</v>
      </c>
      <c r="U65" s="214">
        <f t="shared" si="5"/>
        <v>0</v>
      </c>
      <c r="V65" s="214">
        <f t="shared" si="5"/>
        <v>0</v>
      </c>
      <c r="W65" s="214">
        <f t="shared" si="5"/>
        <v>0</v>
      </c>
      <c r="X65" s="214">
        <f t="shared" si="5"/>
        <v>0</v>
      </c>
      <c r="Y65" s="214">
        <f t="shared" si="5"/>
        <v>0</v>
      </c>
      <c r="Z65" s="214">
        <f t="shared" si="5"/>
        <v>0</v>
      </c>
    </row>
    <row r="66" spans="2:26" s="5" customFormat="1" x14ac:dyDescent="0.25">
      <c r="B66" s="9" t="s">
        <v>18</v>
      </c>
      <c r="C66" s="214">
        <f t="shared" ref="C66:Z66" si="6">($C$47*C57*$F$47)</f>
        <v>232.79999999999998</v>
      </c>
      <c r="D66" s="214">
        <f t="shared" si="6"/>
        <v>232.79999999999998</v>
      </c>
      <c r="E66" s="214">
        <f t="shared" si="6"/>
        <v>232.79999999999998</v>
      </c>
      <c r="F66" s="214">
        <f t="shared" si="6"/>
        <v>232.79999999999998</v>
      </c>
      <c r="G66" s="214">
        <f t="shared" si="6"/>
        <v>232.79999999999998</v>
      </c>
      <c r="H66" s="214">
        <f t="shared" si="6"/>
        <v>232.79999999999998</v>
      </c>
      <c r="I66" s="214">
        <f t="shared" si="6"/>
        <v>232.79999999999998</v>
      </c>
      <c r="J66" s="214">
        <f t="shared" si="6"/>
        <v>271.59999999999997</v>
      </c>
      <c r="K66" s="214">
        <f t="shared" si="6"/>
        <v>388</v>
      </c>
      <c r="L66" s="214">
        <f t="shared" si="6"/>
        <v>465.59999999999997</v>
      </c>
      <c r="M66" s="214">
        <f t="shared" si="6"/>
        <v>465.59999999999997</v>
      </c>
      <c r="N66" s="214">
        <f t="shared" si="6"/>
        <v>465.59999999999997</v>
      </c>
      <c r="O66" s="214">
        <f t="shared" si="6"/>
        <v>465.59999999999997</v>
      </c>
      <c r="P66" s="214">
        <f t="shared" si="6"/>
        <v>465.59999999999997</v>
      </c>
      <c r="Q66" s="214">
        <f t="shared" si="6"/>
        <v>465.59999999999997</v>
      </c>
      <c r="R66" s="214">
        <f t="shared" si="6"/>
        <v>465.59999999999997</v>
      </c>
      <c r="S66" s="214">
        <f t="shared" si="6"/>
        <v>504.40000000000003</v>
      </c>
      <c r="T66" s="214">
        <f t="shared" si="6"/>
        <v>504.40000000000003</v>
      </c>
      <c r="U66" s="214">
        <f t="shared" si="6"/>
        <v>504.40000000000003</v>
      </c>
      <c r="V66" s="214">
        <f t="shared" si="6"/>
        <v>543.19999999999993</v>
      </c>
      <c r="W66" s="214">
        <f t="shared" si="6"/>
        <v>543.19999999999993</v>
      </c>
      <c r="X66" s="214">
        <f t="shared" si="6"/>
        <v>543.19999999999993</v>
      </c>
      <c r="Y66" s="214">
        <f t="shared" si="6"/>
        <v>388</v>
      </c>
      <c r="Z66" s="214">
        <f t="shared" si="6"/>
        <v>232.79999999999998</v>
      </c>
    </row>
    <row r="67" spans="2:26" s="5" customFormat="1" x14ac:dyDescent="0.25">
      <c r="B67" s="9" t="s">
        <v>19</v>
      </c>
      <c r="C67" s="214">
        <f t="shared" ref="C67:Z67" si="7">($C$48*C58*$F$48)</f>
        <v>94</v>
      </c>
      <c r="D67" s="214">
        <f t="shared" si="7"/>
        <v>94</v>
      </c>
      <c r="E67" s="214">
        <f t="shared" si="7"/>
        <v>94</v>
      </c>
      <c r="F67" s="214">
        <f t="shared" si="7"/>
        <v>94</v>
      </c>
      <c r="G67" s="214">
        <f t="shared" si="7"/>
        <v>94</v>
      </c>
      <c r="H67" s="214">
        <f t="shared" si="7"/>
        <v>94</v>
      </c>
      <c r="I67" s="214">
        <f t="shared" si="7"/>
        <v>282</v>
      </c>
      <c r="J67" s="214">
        <f t="shared" si="7"/>
        <v>564</v>
      </c>
      <c r="K67" s="214">
        <f t="shared" si="7"/>
        <v>564</v>
      </c>
      <c r="L67" s="214">
        <f t="shared" si="7"/>
        <v>611</v>
      </c>
      <c r="M67" s="214">
        <f t="shared" si="7"/>
        <v>611</v>
      </c>
      <c r="N67" s="214">
        <f t="shared" si="7"/>
        <v>611</v>
      </c>
      <c r="O67" s="214">
        <f t="shared" si="7"/>
        <v>611</v>
      </c>
      <c r="P67" s="214">
        <f t="shared" si="7"/>
        <v>611</v>
      </c>
      <c r="Q67" s="214">
        <f t="shared" si="7"/>
        <v>611</v>
      </c>
      <c r="R67" s="214">
        <f t="shared" si="7"/>
        <v>611</v>
      </c>
      <c r="S67" s="214">
        <f t="shared" si="7"/>
        <v>517</v>
      </c>
      <c r="T67" s="214">
        <f t="shared" si="7"/>
        <v>188</v>
      </c>
      <c r="U67" s="214">
        <f t="shared" si="7"/>
        <v>94</v>
      </c>
      <c r="V67" s="214">
        <f t="shared" si="7"/>
        <v>94</v>
      </c>
      <c r="W67" s="214">
        <f t="shared" si="7"/>
        <v>94</v>
      </c>
      <c r="X67" s="214">
        <f t="shared" si="7"/>
        <v>94</v>
      </c>
      <c r="Y67" s="214">
        <f t="shared" si="7"/>
        <v>94</v>
      </c>
      <c r="Z67" s="214">
        <f t="shared" si="7"/>
        <v>94</v>
      </c>
    </row>
    <row r="68" spans="2:26" s="5" customFormat="1" x14ac:dyDescent="0.25">
      <c r="B68" s="9" t="s">
        <v>27</v>
      </c>
      <c r="C68" s="214">
        <f t="shared" ref="C68:Z68" si="8">($C$49*C59*$F$49)</f>
        <v>0</v>
      </c>
      <c r="D68" s="214">
        <f t="shared" si="8"/>
        <v>0</v>
      </c>
      <c r="E68" s="214">
        <f t="shared" si="8"/>
        <v>0</v>
      </c>
      <c r="F68" s="214">
        <f t="shared" si="8"/>
        <v>0</v>
      </c>
      <c r="G68" s="214">
        <f t="shared" si="8"/>
        <v>0</v>
      </c>
      <c r="H68" s="214">
        <f t="shared" si="8"/>
        <v>0</v>
      </c>
      <c r="I68" s="214">
        <f t="shared" si="8"/>
        <v>0</v>
      </c>
      <c r="J68" s="214">
        <f t="shared" si="8"/>
        <v>0</v>
      </c>
      <c r="K68" s="214">
        <f t="shared" si="8"/>
        <v>0</v>
      </c>
      <c r="L68" s="214">
        <f t="shared" si="8"/>
        <v>0</v>
      </c>
      <c r="M68" s="214">
        <f t="shared" si="8"/>
        <v>0</v>
      </c>
      <c r="N68" s="214">
        <f t="shared" si="8"/>
        <v>0</v>
      </c>
      <c r="O68" s="214">
        <f t="shared" si="8"/>
        <v>0</v>
      </c>
      <c r="P68" s="214">
        <f t="shared" si="8"/>
        <v>0</v>
      </c>
      <c r="Q68" s="214">
        <f t="shared" si="8"/>
        <v>0</v>
      </c>
      <c r="R68" s="214">
        <f t="shared" si="8"/>
        <v>0</v>
      </c>
      <c r="S68" s="214">
        <f t="shared" si="8"/>
        <v>0</v>
      </c>
      <c r="T68" s="214">
        <f t="shared" si="8"/>
        <v>0</v>
      </c>
      <c r="U68" s="214">
        <f t="shared" si="8"/>
        <v>0</v>
      </c>
      <c r="V68" s="214">
        <f t="shared" si="8"/>
        <v>0</v>
      </c>
      <c r="W68" s="214">
        <f t="shared" si="8"/>
        <v>0</v>
      </c>
      <c r="X68" s="214">
        <f t="shared" si="8"/>
        <v>0</v>
      </c>
      <c r="Y68" s="214">
        <f t="shared" si="8"/>
        <v>0</v>
      </c>
      <c r="Z68" s="214">
        <f t="shared" si="8"/>
        <v>0</v>
      </c>
    </row>
    <row r="69" spans="2:26" s="5" customFormat="1" ht="15.75" thickBot="1" x14ac:dyDescent="0.3">
      <c r="B69" s="125" t="s">
        <v>26</v>
      </c>
      <c r="C69" s="215">
        <f t="shared" ref="C69:Z69" si="9">($C$50*C60*$F$50)</f>
        <v>0</v>
      </c>
      <c r="D69" s="215">
        <f t="shared" si="9"/>
        <v>0</v>
      </c>
      <c r="E69" s="215">
        <f t="shared" si="9"/>
        <v>0</v>
      </c>
      <c r="F69" s="215">
        <f t="shared" si="9"/>
        <v>0</v>
      </c>
      <c r="G69" s="215">
        <f t="shared" si="9"/>
        <v>0</v>
      </c>
      <c r="H69" s="215">
        <f t="shared" si="9"/>
        <v>0</v>
      </c>
      <c r="I69" s="215">
        <f t="shared" si="9"/>
        <v>0</v>
      </c>
      <c r="J69" s="215">
        <f t="shared" si="9"/>
        <v>0</v>
      </c>
      <c r="K69" s="215">
        <f t="shared" si="9"/>
        <v>0</v>
      </c>
      <c r="L69" s="215">
        <f t="shared" si="9"/>
        <v>0</v>
      </c>
      <c r="M69" s="215">
        <f t="shared" si="9"/>
        <v>0</v>
      </c>
      <c r="N69" s="215">
        <f t="shared" si="9"/>
        <v>0</v>
      </c>
      <c r="O69" s="215">
        <f t="shared" si="9"/>
        <v>0</v>
      </c>
      <c r="P69" s="215">
        <f t="shared" si="9"/>
        <v>0</v>
      </c>
      <c r="Q69" s="215">
        <f t="shared" si="9"/>
        <v>0</v>
      </c>
      <c r="R69" s="215">
        <f t="shared" si="9"/>
        <v>0</v>
      </c>
      <c r="S69" s="215">
        <f t="shared" si="9"/>
        <v>0</v>
      </c>
      <c r="T69" s="215">
        <f t="shared" si="9"/>
        <v>0</v>
      </c>
      <c r="U69" s="215">
        <f t="shared" si="9"/>
        <v>0</v>
      </c>
      <c r="V69" s="215">
        <f t="shared" si="9"/>
        <v>0</v>
      </c>
      <c r="W69" s="215">
        <f t="shared" si="9"/>
        <v>0</v>
      </c>
      <c r="X69" s="215">
        <f t="shared" si="9"/>
        <v>0</v>
      </c>
      <c r="Y69" s="215">
        <f t="shared" si="9"/>
        <v>0</v>
      </c>
      <c r="Z69" s="215">
        <f t="shared" si="9"/>
        <v>0</v>
      </c>
    </row>
    <row r="70" spans="2:26" s="5" customFormat="1" ht="15.75" thickBot="1" x14ac:dyDescent="0.3">
      <c r="B70" s="219" t="s">
        <v>87</v>
      </c>
      <c r="C70" s="220">
        <f>SUM(C64:C69)</f>
        <v>326.79999999999995</v>
      </c>
      <c r="D70" s="220">
        <f t="shared" ref="D70:Z70" si="10">SUM(D64:D69)</f>
        <v>326.79999999999995</v>
      </c>
      <c r="E70" s="220">
        <f t="shared" si="10"/>
        <v>326.79999999999995</v>
      </c>
      <c r="F70" s="220">
        <f t="shared" si="10"/>
        <v>326.79999999999995</v>
      </c>
      <c r="G70" s="220">
        <f t="shared" si="10"/>
        <v>326.79999999999995</v>
      </c>
      <c r="H70" s="220">
        <f t="shared" si="10"/>
        <v>326.79999999999995</v>
      </c>
      <c r="I70" s="220">
        <f t="shared" si="10"/>
        <v>514.79999999999995</v>
      </c>
      <c r="J70" s="220">
        <f t="shared" si="10"/>
        <v>835.59999999999991</v>
      </c>
      <c r="K70" s="220">
        <f t="shared" si="10"/>
        <v>952</v>
      </c>
      <c r="L70" s="220">
        <f t="shared" si="10"/>
        <v>1076.5999999999999</v>
      </c>
      <c r="M70" s="220">
        <f t="shared" si="10"/>
        <v>1076.5999999999999</v>
      </c>
      <c r="N70" s="220">
        <f t="shared" si="10"/>
        <v>1076.5999999999999</v>
      </c>
      <c r="O70" s="220">
        <f t="shared" si="10"/>
        <v>1076.5999999999999</v>
      </c>
      <c r="P70" s="220">
        <f t="shared" si="10"/>
        <v>1076.5999999999999</v>
      </c>
      <c r="Q70" s="220">
        <f t="shared" si="10"/>
        <v>1076.5999999999999</v>
      </c>
      <c r="R70" s="220">
        <f t="shared" si="10"/>
        <v>1076.5999999999999</v>
      </c>
      <c r="S70" s="220">
        <f t="shared" si="10"/>
        <v>1021.4000000000001</v>
      </c>
      <c r="T70" s="220">
        <f t="shared" si="10"/>
        <v>692.40000000000009</v>
      </c>
      <c r="U70" s="220">
        <f t="shared" si="10"/>
        <v>598.40000000000009</v>
      </c>
      <c r="V70" s="220">
        <f t="shared" si="10"/>
        <v>637.19999999999993</v>
      </c>
      <c r="W70" s="220">
        <f t="shared" si="10"/>
        <v>637.19999999999993</v>
      </c>
      <c r="X70" s="220">
        <f t="shared" si="10"/>
        <v>637.19999999999993</v>
      </c>
      <c r="Y70" s="220">
        <f t="shared" si="10"/>
        <v>482</v>
      </c>
      <c r="Z70" s="221">
        <f t="shared" si="10"/>
        <v>326.79999999999995</v>
      </c>
    </row>
    <row r="71" spans="2:26" s="5" customFormat="1" x14ac:dyDescent="0.25"/>
    <row r="72" spans="2:26" s="5" customFormat="1" x14ac:dyDescent="0.25"/>
    <row r="73" spans="2:26" s="5" customFormat="1" x14ac:dyDescent="0.25">
      <c r="B73" s="124"/>
      <c r="C73" s="124"/>
      <c r="D73" s="126"/>
      <c r="F73" s="127"/>
      <c r="G73" s="124"/>
    </row>
  </sheetData>
  <sheetProtection password="ECBF" sheet="1" objects="1" scenarios="1"/>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3:Q63"/>
  <sheetViews>
    <sheetView zoomScale="85" zoomScaleNormal="85" workbookViewId="0"/>
  </sheetViews>
  <sheetFormatPr defaultRowHeight="15" x14ac:dyDescent="0.25"/>
  <cols>
    <col min="2" max="2" width="24.140625" style="19" customWidth="1"/>
    <col min="3" max="3" width="8.85546875" style="19"/>
    <col min="4" max="4" width="12.5703125" style="19" customWidth="1"/>
    <col min="5" max="15" width="9.42578125" style="19" customWidth="1"/>
    <col min="16" max="16" width="13.7109375" style="19" customWidth="1"/>
    <col min="17" max="17" width="20.28515625" style="19" customWidth="1"/>
  </cols>
  <sheetData>
    <row r="23" spans="2:17" ht="14.45" x14ac:dyDescent="0.3">
      <c r="D23" s="28" t="s">
        <v>45</v>
      </c>
      <c r="P23" s="28" t="s">
        <v>46</v>
      </c>
    </row>
    <row r="24" spans="2:17" ht="14.45" x14ac:dyDescent="0.3">
      <c r="D24" s="29">
        <f>MIN(D30:D63)</f>
        <v>3.6663000000000001</v>
      </c>
      <c r="P24" s="29">
        <f>MIN(P30:P63)</f>
        <v>3.9860346900000003</v>
      </c>
    </row>
    <row r="25" spans="2:17" s="19" customFormat="1" ht="14.45" x14ac:dyDescent="0.3">
      <c r="D25" s="28" t="s">
        <v>43</v>
      </c>
      <c r="P25" s="28" t="s">
        <v>44</v>
      </c>
      <c r="Q25" s="28" t="s">
        <v>51</v>
      </c>
    </row>
    <row r="26" spans="2:17" s="19" customFormat="1" ht="14.45" x14ac:dyDescent="0.3">
      <c r="D26" s="93">
        <f>MAX(D30:D63)</f>
        <v>65.596772999999999</v>
      </c>
      <c r="P26" s="93">
        <f>MAX(P30:P63)</f>
        <v>52.2344010375</v>
      </c>
      <c r="Q26" s="92">
        <f>P26/D26</f>
        <v>0.79629528479243938</v>
      </c>
    </row>
    <row r="27" spans="2:17" s="19" customFormat="1" thickBot="1" x14ac:dyDescent="0.35">
      <c r="D27" s="26" t="s">
        <v>33</v>
      </c>
      <c r="E27" s="25"/>
      <c r="F27" s="25"/>
    </row>
    <row r="28" spans="2:17" ht="58.15" thickBot="1" x14ac:dyDescent="0.35">
      <c r="D28" s="24" t="s">
        <v>41</v>
      </c>
      <c r="E28" s="32">
        <v>0.5</v>
      </c>
      <c r="F28" s="30">
        <v>0.15</v>
      </c>
      <c r="G28" s="30">
        <v>0.15</v>
      </c>
      <c r="H28" s="30">
        <v>0.05</v>
      </c>
      <c r="I28" s="30">
        <v>0.05</v>
      </c>
      <c r="J28" s="30">
        <v>2.5000000000000001E-2</v>
      </c>
      <c r="K28" s="30">
        <v>2.5000000000000001E-2</v>
      </c>
      <c r="L28" s="30">
        <v>0.02</v>
      </c>
      <c r="M28" s="30">
        <v>0.02</v>
      </c>
      <c r="N28" s="30">
        <v>5.0000000000000001E-3</v>
      </c>
      <c r="O28" s="30">
        <v>5.0000000000000001E-3</v>
      </c>
      <c r="P28" s="31">
        <f>SUM(E28:O28)</f>
        <v>1.0000000000000002</v>
      </c>
    </row>
    <row r="29" spans="2:17" s="1" customFormat="1" ht="60.75" thickBot="1" x14ac:dyDescent="0.3">
      <c r="B29" s="23" t="s">
        <v>30</v>
      </c>
      <c r="C29" s="23" t="s">
        <v>29</v>
      </c>
      <c r="D29" s="33" t="s">
        <v>42</v>
      </c>
      <c r="E29" s="22" t="s">
        <v>36</v>
      </c>
      <c r="F29" s="95" t="s">
        <v>34</v>
      </c>
      <c r="G29" s="27" t="s">
        <v>35</v>
      </c>
      <c r="H29" s="95" t="s">
        <v>37</v>
      </c>
      <c r="I29" s="27" t="s">
        <v>38</v>
      </c>
      <c r="J29" s="95" t="s">
        <v>39</v>
      </c>
      <c r="K29" s="27" t="s">
        <v>40</v>
      </c>
      <c r="L29" s="95" t="s">
        <v>47</v>
      </c>
      <c r="M29" s="27" t="s">
        <v>48</v>
      </c>
      <c r="N29" s="95" t="s">
        <v>49</v>
      </c>
      <c r="O29" s="27" t="s">
        <v>50</v>
      </c>
      <c r="P29" s="27" t="s">
        <v>79</v>
      </c>
    </row>
    <row r="30" spans="2:17" ht="29.45" customHeight="1" x14ac:dyDescent="0.25">
      <c r="B30" s="1" t="s">
        <v>68</v>
      </c>
      <c r="C30">
        <v>1</v>
      </c>
      <c r="D30" s="20">
        <f>HouseholdLoadProfiles!F5</f>
        <v>3.6663000000000001</v>
      </c>
      <c r="E30" s="20">
        <f>$D30*E$28</f>
        <v>1.8331500000000001</v>
      </c>
      <c r="F30" s="96">
        <f>$D31*F$28</f>
        <v>0.54994500000000002</v>
      </c>
      <c r="G30" s="97">
        <f>$D58*G$28</f>
        <v>1.2248774999999998</v>
      </c>
      <c r="H30" s="96">
        <f>$D32*H$28</f>
        <v>0.18331500000000001</v>
      </c>
      <c r="I30" s="97">
        <f>$D57*I$28</f>
        <v>1.577092275</v>
      </c>
      <c r="J30" s="96">
        <f>$D33*J$28</f>
        <v>9.1657500000000003E-2</v>
      </c>
      <c r="K30" s="97">
        <f>$D56*K$28</f>
        <v>1.5399709875000001</v>
      </c>
      <c r="L30" s="96">
        <f>$D34*L$28</f>
        <v>7.3326000000000002E-2</v>
      </c>
      <c r="M30" s="97">
        <f>$D55*M$28</f>
        <v>1.3119354599999999</v>
      </c>
      <c r="N30" s="96">
        <f>$D35*N$28</f>
        <v>1.8331500000000001E-2</v>
      </c>
      <c r="O30" s="97">
        <f>$D54*O$28</f>
        <v>0.22074458999999999</v>
      </c>
      <c r="P30" s="20">
        <f t="shared" ref="P30:P53" si="0">SUM(E30:O30)</f>
        <v>8.6243458124999997</v>
      </c>
      <c r="Q30" s="6"/>
    </row>
    <row r="31" spans="2:17" ht="29.45" customHeight="1" x14ac:dyDescent="0.25">
      <c r="B31" s="1" t="s">
        <v>68</v>
      </c>
      <c r="C31">
        <v>2</v>
      </c>
      <c r="D31" s="20">
        <f>HouseholdLoadProfiles!F6</f>
        <v>3.6663000000000001</v>
      </c>
      <c r="E31" s="20">
        <f t="shared" ref="E31:E53" si="1">$D31*E$28</f>
        <v>1.8331500000000001</v>
      </c>
      <c r="F31" s="96">
        <f t="shared" ref="F31:F52" si="2">$D32*F$28</f>
        <v>0.54994500000000002</v>
      </c>
      <c r="G31" s="20">
        <f>$D30*G$28</f>
        <v>0.54994500000000002</v>
      </c>
      <c r="H31" s="96">
        <f t="shared" ref="H31:H51" si="3">$D33*H$28</f>
        <v>0.18331500000000001</v>
      </c>
      <c r="I31" s="97">
        <f t="shared" ref="I31" si="4">$D58*I$28</f>
        <v>0.40829249999999995</v>
      </c>
      <c r="J31" s="96">
        <f t="shared" ref="J31:J50" si="5">$D34*J$28</f>
        <v>9.1657500000000003E-2</v>
      </c>
      <c r="K31" s="97">
        <f t="shared" ref="K31:K32" si="6">$D57*K$28</f>
        <v>0.78854613750000002</v>
      </c>
      <c r="L31" s="96">
        <f t="shared" ref="L31:L49" si="7">$D35*L$28</f>
        <v>7.3326000000000002E-2</v>
      </c>
      <c r="M31" s="97">
        <f t="shared" ref="M31:M33" si="8">$D56*M$28</f>
        <v>1.23197679</v>
      </c>
      <c r="N31" s="96">
        <f t="shared" ref="N31:N48" si="9">$D36*N$28</f>
        <v>2.286438E-2</v>
      </c>
      <c r="O31" s="97">
        <f t="shared" ref="O31:O34" si="10">$D55*O$28</f>
        <v>0.32798386499999999</v>
      </c>
      <c r="P31" s="20">
        <f t="shared" si="0"/>
        <v>6.0610021724999994</v>
      </c>
      <c r="Q31" s="6"/>
    </row>
    <row r="32" spans="2:17" ht="29.45" customHeight="1" x14ac:dyDescent="0.25">
      <c r="B32" s="1" t="s">
        <v>68</v>
      </c>
      <c r="C32">
        <v>3</v>
      </c>
      <c r="D32" s="20">
        <f>HouseholdLoadProfiles!F7</f>
        <v>3.6663000000000001</v>
      </c>
      <c r="E32" s="20">
        <f t="shared" si="1"/>
        <v>1.8331500000000001</v>
      </c>
      <c r="F32" s="96">
        <f t="shared" si="2"/>
        <v>0.54994500000000002</v>
      </c>
      <c r="G32" s="20">
        <f>$D31*G$28</f>
        <v>0.54994500000000002</v>
      </c>
      <c r="H32" s="96">
        <f t="shared" si="3"/>
        <v>0.18331500000000001</v>
      </c>
      <c r="I32" s="20">
        <f>$D30*I$28</f>
        <v>0.18331500000000001</v>
      </c>
      <c r="J32" s="96">
        <f t="shared" si="5"/>
        <v>9.1657500000000003E-2</v>
      </c>
      <c r="K32" s="97">
        <f t="shared" si="6"/>
        <v>0.20414624999999997</v>
      </c>
      <c r="L32" s="96">
        <f t="shared" si="7"/>
        <v>9.145752E-2</v>
      </c>
      <c r="M32" s="97">
        <f t="shared" si="8"/>
        <v>0.63083691000000008</v>
      </c>
      <c r="N32" s="96">
        <f t="shared" si="9"/>
        <v>2.286438E-2</v>
      </c>
      <c r="O32" s="97">
        <f t="shared" si="10"/>
        <v>0.30799419750000001</v>
      </c>
      <c r="P32" s="20">
        <f t="shared" si="0"/>
        <v>4.6486267574999998</v>
      </c>
      <c r="Q32" s="6"/>
    </row>
    <row r="33" spans="1:17" ht="29.45" customHeight="1" x14ac:dyDescent="0.25">
      <c r="B33" s="1" t="s">
        <v>68</v>
      </c>
      <c r="C33">
        <v>4</v>
      </c>
      <c r="D33" s="20">
        <f>HouseholdLoadProfiles!F8</f>
        <v>3.6663000000000001</v>
      </c>
      <c r="E33" s="20">
        <f t="shared" si="1"/>
        <v>1.8331500000000001</v>
      </c>
      <c r="F33" s="96">
        <f t="shared" si="2"/>
        <v>0.54994500000000002</v>
      </c>
      <c r="G33" s="20">
        <f t="shared" ref="G33:G53" si="11">$D32*G$28</f>
        <v>0.54994500000000002</v>
      </c>
      <c r="H33" s="96">
        <f t="shared" si="3"/>
        <v>0.18331500000000001</v>
      </c>
      <c r="I33" s="20">
        <f t="shared" ref="I33:I53" si="12">$D31*I$28</f>
        <v>0.18331500000000001</v>
      </c>
      <c r="J33" s="96">
        <f t="shared" si="5"/>
        <v>0.1143219</v>
      </c>
      <c r="K33" s="20">
        <f>$D30*K$28</f>
        <v>9.1657500000000003E-2</v>
      </c>
      <c r="L33" s="96">
        <f t="shared" si="7"/>
        <v>9.145752E-2</v>
      </c>
      <c r="M33" s="97">
        <f t="shared" si="8"/>
        <v>0.16331699999999999</v>
      </c>
      <c r="N33" s="96">
        <f t="shared" si="9"/>
        <v>6.7901542499999995E-2</v>
      </c>
      <c r="O33" s="97">
        <f t="shared" si="10"/>
        <v>0.15770922750000002</v>
      </c>
      <c r="P33" s="20">
        <f t="shared" si="0"/>
        <v>3.9860346900000003</v>
      </c>
      <c r="Q33" s="6"/>
    </row>
    <row r="34" spans="1:17" ht="29.45" customHeight="1" x14ac:dyDescent="0.25">
      <c r="B34" s="1" t="s">
        <v>68</v>
      </c>
      <c r="C34">
        <v>5</v>
      </c>
      <c r="D34" s="20">
        <f>HouseholdLoadProfiles!F9</f>
        <v>3.6663000000000001</v>
      </c>
      <c r="E34" s="20">
        <f t="shared" si="1"/>
        <v>1.8331500000000001</v>
      </c>
      <c r="F34" s="96">
        <f t="shared" si="2"/>
        <v>0.54994500000000002</v>
      </c>
      <c r="G34" s="20">
        <f t="shared" si="11"/>
        <v>0.54994500000000002</v>
      </c>
      <c r="H34" s="96">
        <f t="shared" si="3"/>
        <v>0.22864380000000001</v>
      </c>
      <c r="I34" s="20">
        <f t="shared" si="12"/>
        <v>0.18331500000000001</v>
      </c>
      <c r="J34" s="96">
        <f t="shared" si="5"/>
        <v>0.1143219</v>
      </c>
      <c r="K34" s="20">
        <f t="shared" ref="K34:K53" si="13">$D31*K$28</f>
        <v>9.1657500000000003E-2</v>
      </c>
      <c r="L34" s="96">
        <f t="shared" si="7"/>
        <v>0.27160616999999998</v>
      </c>
      <c r="M34" s="20">
        <f>$D30*M$28</f>
        <v>7.3326000000000002E-2</v>
      </c>
      <c r="N34" s="96">
        <f t="shared" si="9"/>
        <v>6.7901542499999995E-2</v>
      </c>
      <c r="O34" s="97">
        <f t="shared" si="10"/>
        <v>4.0829249999999997E-2</v>
      </c>
      <c r="P34" s="20">
        <f t="shared" si="0"/>
        <v>4.0046411625000005</v>
      </c>
      <c r="Q34" s="6"/>
    </row>
    <row r="35" spans="1:17" ht="29.45" customHeight="1" x14ac:dyDescent="0.25">
      <c r="B35" s="1" t="s">
        <v>68</v>
      </c>
      <c r="C35">
        <v>6</v>
      </c>
      <c r="D35" s="20">
        <f>HouseholdLoadProfiles!F10</f>
        <v>3.6663000000000001</v>
      </c>
      <c r="E35" s="20">
        <f t="shared" si="1"/>
        <v>1.8331500000000001</v>
      </c>
      <c r="F35" s="96">
        <f t="shared" si="2"/>
        <v>0.68593139999999997</v>
      </c>
      <c r="G35" s="20">
        <f t="shared" si="11"/>
        <v>0.54994500000000002</v>
      </c>
      <c r="H35" s="96">
        <f t="shared" si="3"/>
        <v>0.22864380000000001</v>
      </c>
      <c r="I35" s="20">
        <f t="shared" si="12"/>
        <v>0.18331500000000001</v>
      </c>
      <c r="J35" s="96">
        <f t="shared" si="5"/>
        <v>0.3395077125</v>
      </c>
      <c r="K35" s="20">
        <f t="shared" si="13"/>
        <v>9.1657500000000003E-2</v>
      </c>
      <c r="L35" s="96">
        <f t="shared" si="7"/>
        <v>0.27160616999999998</v>
      </c>
      <c r="M35" s="20">
        <f t="shared" ref="M35:M53" si="14">$D31*M$28</f>
        <v>7.3326000000000002E-2</v>
      </c>
      <c r="N35" s="96">
        <f t="shared" si="9"/>
        <v>6.7901542499999995E-2</v>
      </c>
      <c r="O35" s="20">
        <f>$D30*O$28</f>
        <v>1.8331500000000001E-2</v>
      </c>
      <c r="P35" s="20">
        <f t="shared" si="0"/>
        <v>4.3433156249999998</v>
      </c>
      <c r="Q35" s="6"/>
    </row>
    <row r="36" spans="1:17" ht="29.45" customHeight="1" x14ac:dyDescent="0.25">
      <c r="B36" s="1" t="s">
        <v>68</v>
      </c>
      <c r="C36">
        <v>7</v>
      </c>
      <c r="D36" s="20">
        <f>HouseholdLoadProfiles!F11</f>
        <v>4.5728759999999999</v>
      </c>
      <c r="E36" s="20">
        <f t="shared" si="1"/>
        <v>2.286438</v>
      </c>
      <c r="F36" s="96">
        <f t="shared" si="2"/>
        <v>0.68593139999999997</v>
      </c>
      <c r="G36" s="20">
        <f t="shared" si="11"/>
        <v>0.54994500000000002</v>
      </c>
      <c r="H36" s="96">
        <f t="shared" si="3"/>
        <v>0.67901542500000001</v>
      </c>
      <c r="I36" s="20">
        <f t="shared" si="12"/>
        <v>0.18331500000000001</v>
      </c>
      <c r="J36" s="96">
        <f t="shared" si="5"/>
        <v>0.3395077125</v>
      </c>
      <c r="K36" s="20">
        <f t="shared" si="13"/>
        <v>9.1657500000000003E-2</v>
      </c>
      <c r="L36" s="96">
        <f t="shared" si="7"/>
        <v>0.27160616999999998</v>
      </c>
      <c r="M36" s="20">
        <f t="shared" si="14"/>
        <v>7.3326000000000002E-2</v>
      </c>
      <c r="N36" s="96">
        <f t="shared" si="9"/>
        <v>7.4700862500000006E-2</v>
      </c>
      <c r="O36" s="20">
        <f t="shared" ref="O36:O53" si="15">$D31*O$28</f>
        <v>1.8331500000000001E-2</v>
      </c>
      <c r="P36" s="20">
        <f t="shared" si="0"/>
        <v>5.2537745700000009</v>
      </c>
      <c r="Q36" s="6"/>
    </row>
    <row r="37" spans="1:17" s="16" customFormat="1" ht="29.45" customHeight="1" x14ac:dyDescent="0.25">
      <c r="A37"/>
      <c r="B37" s="1" t="s">
        <v>68</v>
      </c>
      <c r="C37">
        <v>8</v>
      </c>
      <c r="D37" s="20">
        <f>HouseholdLoadProfiles!F12</f>
        <v>4.5728759999999999</v>
      </c>
      <c r="E37" s="20">
        <f t="shared" si="1"/>
        <v>2.286438</v>
      </c>
      <c r="F37" s="96">
        <f t="shared" si="2"/>
        <v>2.0370462749999998</v>
      </c>
      <c r="G37" s="20">
        <f t="shared" si="11"/>
        <v>0.68593139999999997</v>
      </c>
      <c r="H37" s="96">
        <f t="shared" si="3"/>
        <v>0.67901542500000001</v>
      </c>
      <c r="I37" s="20">
        <f t="shared" si="12"/>
        <v>0.18331500000000001</v>
      </c>
      <c r="J37" s="96">
        <f t="shared" si="5"/>
        <v>0.3395077125</v>
      </c>
      <c r="K37" s="20">
        <f t="shared" si="13"/>
        <v>9.1657500000000003E-2</v>
      </c>
      <c r="L37" s="96">
        <f t="shared" si="7"/>
        <v>0.29880345000000003</v>
      </c>
      <c r="M37" s="20">
        <f t="shared" si="14"/>
        <v>7.3326000000000002E-2</v>
      </c>
      <c r="N37" s="96">
        <f t="shared" si="9"/>
        <v>4.1412524999999992E-2</v>
      </c>
      <c r="O37" s="20">
        <f t="shared" si="15"/>
        <v>1.8331500000000001E-2</v>
      </c>
      <c r="P37" s="20">
        <f t="shared" si="0"/>
        <v>6.7347847875000015</v>
      </c>
      <c r="Q37" s="6"/>
    </row>
    <row r="38" spans="1:17" s="16" customFormat="1" ht="29.45" customHeight="1" x14ac:dyDescent="0.25">
      <c r="A38"/>
      <c r="B38" s="1" t="s">
        <v>68</v>
      </c>
      <c r="C38">
        <v>9</v>
      </c>
      <c r="D38" s="20">
        <f>HouseholdLoadProfiles!F13</f>
        <v>13.580308499999999</v>
      </c>
      <c r="E38" s="20">
        <f t="shared" si="1"/>
        <v>6.7901542499999996</v>
      </c>
      <c r="F38" s="96">
        <f t="shared" si="2"/>
        <v>2.0370462749999998</v>
      </c>
      <c r="G38" s="20">
        <f t="shared" si="11"/>
        <v>0.68593139999999997</v>
      </c>
      <c r="H38" s="96">
        <f t="shared" si="3"/>
        <v>0.67901542500000001</v>
      </c>
      <c r="I38" s="20">
        <f t="shared" si="12"/>
        <v>0.22864380000000001</v>
      </c>
      <c r="J38" s="96">
        <f t="shared" si="5"/>
        <v>0.37350431250000005</v>
      </c>
      <c r="K38" s="20">
        <f t="shared" si="13"/>
        <v>9.1657500000000003E-2</v>
      </c>
      <c r="L38" s="96">
        <f t="shared" si="7"/>
        <v>0.16565009999999997</v>
      </c>
      <c r="M38" s="20">
        <f t="shared" si="14"/>
        <v>7.3326000000000002E-2</v>
      </c>
      <c r="N38" s="96">
        <f t="shared" si="9"/>
        <v>4.1412524999999992E-2</v>
      </c>
      <c r="O38" s="20">
        <f t="shared" si="15"/>
        <v>1.8331500000000001E-2</v>
      </c>
      <c r="P38" s="20">
        <f t="shared" si="0"/>
        <v>11.184673087499998</v>
      </c>
      <c r="Q38" s="6"/>
    </row>
    <row r="39" spans="1:17" s="16" customFormat="1" ht="29.45" customHeight="1" x14ac:dyDescent="0.25">
      <c r="A39"/>
      <c r="B39" s="1" t="s">
        <v>68</v>
      </c>
      <c r="C39">
        <v>10</v>
      </c>
      <c r="D39" s="20">
        <f>HouseholdLoadProfiles!F14</f>
        <v>13.580308499999999</v>
      </c>
      <c r="E39" s="20">
        <f t="shared" si="1"/>
        <v>6.7901542499999996</v>
      </c>
      <c r="F39" s="96">
        <f t="shared" si="2"/>
        <v>2.0370462749999998</v>
      </c>
      <c r="G39" s="20">
        <f t="shared" si="11"/>
        <v>2.0370462749999998</v>
      </c>
      <c r="H39" s="96">
        <f t="shared" si="3"/>
        <v>0.74700862500000009</v>
      </c>
      <c r="I39" s="20">
        <f t="shared" si="12"/>
        <v>0.22864380000000001</v>
      </c>
      <c r="J39" s="96">
        <f t="shared" si="5"/>
        <v>0.20706262499999997</v>
      </c>
      <c r="K39" s="20">
        <f t="shared" si="13"/>
        <v>0.1143219</v>
      </c>
      <c r="L39" s="96">
        <f t="shared" si="7"/>
        <v>0.16565009999999997</v>
      </c>
      <c r="M39" s="20">
        <f t="shared" si="14"/>
        <v>7.3326000000000002E-2</v>
      </c>
      <c r="N39" s="96">
        <f t="shared" si="9"/>
        <v>4.1412524999999992E-2</v>
      </c>
      <c r="O39" s="20">
        <f t="shared" si="15"/>
        <v>1.8331500000000001E-2</v>
      </c>
      <c r="P39" s="20">
        <f t="shared" si="0"/>
        <v>12.460003875</v>
      </c>
      <c r="Q39" s="6"/>
    </row>
    <row r="40" spans="1:17" s="16" customFormat="1" ht="29.45" customHeight="1" x14ac:dyDescent="0.25">
      <c r="B40" s="1" t="s">
        <v>68</v>
      </c>
      <c r="C40">
        <v>11</v>
      </c>
      <c r="D40" s="20">
        <f>HouseholdLoadProfiles!F15</f>
        <v>13.580308499999999</v>
      </c>
      <c r="E40" s="20">
        <f t="shared" si="1"/>
        <v>6.7901542499999996</v>
      </c>
      <c r="F40" s="96">
        <f t="shared" si="2"/>
        <v>2.2410258750000001</v>
      </c>
      <c r="G40" s="20">
        <f t="shared" si="11"/>
        <v>2.0370462749999998</v>
      </c>
      <c r="H40" s="96">
        <f t="shared" si="3"/>
        <v>0.41412524999999994</v>
      </c>
      <c r="I40" s="20">
        <f t="shared" si="12"/>
        <v>0.67901542500000001</v>
      </c>
      <c r="J40" s="96">
        <f t="shared" si="5"/>
        <v>0.20706262499999997</v>
      </c>
      <c r="K40" s="20">
        <f t="shared" si="13"/>
        <v>0.1143219</v>
      </c>
      <c r="L40" s="96">
        <f t="shared" si="7"/>
        <v>0.16565009999999997</v>
      </c>
      <c r="M40" s="20">
        <f t="shared" si="14"/>
        <v>9.145752E-2</v>
      </c>
      <c r="N40" s="96">
        <f t="shared" si="9"/>
        <v>2.4205912499999999E-2</v>
      </c>
      <c r="O40" s="20">
        <f t="shared" si="15"/>
        <v>1.8331500000000001E-2</v>
      </c>
      <c r="P40" s="20">
        <f t="shared" si="0"/>
        <v>12.782396632499999</v>
      </c>
      <c r="Q40" s="6"/>
    </row>
    <row r="41" spans="1:17" s="16" customFormat="1" ht="29.45" customHeight="1" x14ac:dyDescent="0.25">
      <c r="B41" s="1" t="s">
        <v>68</v>
      </c>
      <c r="C41">
        <v>12</v>
      </c>
      <c r="D41" s="20">
        <f>HouseholdLoadProfiles!F16</f>
        <v>14.940172500000001</v>
      </c>
      <c r="E41" s="20">
        <f t="shared" si="1"/>
        <v>7.4700862500000005</v>
      </c>
      <c r="F41" s="96">
        <f t="shared" si="2"/>
        <v>1.2423757499999997</v>
      </c>
      <c r="G41" s="20">
        <f t="shared" si="11"/>
        <v>2.0370462749999998</v>
      </c>
      <c r="H41" s="96">
        <f t="shared" si="3"/>
        <v>0.41412524999999994</v>
      </c>
      <c r="I41" s="20">
        <f t="shared" si="12"/>
        <v>0.67901542500000001</v>
      </c>
      <c r="J41" s="96">
        <f t="shared" si="5"/>
        <v>0.20706262499999997</v>
      </c>
      <c r="K41" s="20">
        <f t="shared" si="13"/>
        <v>0.3395077125</v>
      </c>
      <c r="L41" s="96">
        <f t="shared" si="7"/>
        <v>9.6823649999999997E-2</v>
      </c>
      <c r="M41" s="20">
        <f t="shared" si="14"/>
        <v>9.145752E-2</v>
      </c>
      <c r="N41" s="96">
        <f t="shared" si="9"/>
        <v>2.4205912499999999E-2</v>
      </c>
      <c r="O41" s="20">
        <f t="shared" si="15"/>
        <v>2.286438E-2</v>
      </c>
      <c r="P41" s="20">
        <f t="shared" si="0"/>
        <v>12.624570749999998</v>
      </c>
      <c r="Q41" s="6"/>
    </row>
    <row r="42" spans="1:17" s="16" customFormat="1" ht="29.45" customHeight="1" x14ac:dyDescent="0.25">
      <c r="B42" s="1" t="s">
        <v>68</v>
      </c>
      <c r="C42">
        <v>13</v>
      </c>
      <c r="D42" s="20">
        <f>HouseholdLoadProfiles!F17</f>
        <v>8.2825049999999987</v>
      </c>
      <c r="E42" s="20">
        <f t="shared" si="1"/>
        <v>4.1412524999999993</v>
      </c>
      <c r="F42" s="96">
        <f t="shared" si="2"/>
        <v>1.2423757499999997</v>
      </c>
      <c r="G42" s="20">
        <f t="shared" si="11"/>
        <v>2.2410258750000001</v>
      </c>
      <c r="H42" s="96">
        <f t="shared" si="3"/>
        <v>0.41412524999999994</v>
      </c>
      <c r="I42" s="20">
        <f t="shared" si="12"/>
        <v>0.67901542500000001</v>
      </c>
      <c r="J42" s="96">
        <f t="shared" si="5"/>
        <v>0.12102956249999999</v>
      </c>
      <c r="K42" s="20">
        <f t="shared" si="13"/>
        <v>0.3395077125</v>
      </c>
      <c r="L42" s="96">
        <f t="shared" si="7"/>
        <v>9.6823649999999997E-2</v>
      </c>
      <c r="M42" s="20">
        <f t="shared" si="14"/>
        <v>0.27160616999999998</v>
      </c>
      <c r="N42" s="96">
        <f t="shared" si="9"/>
        <v>7.6742325E-2</v>
      </c>
      <c r="O42" s="20">
        <f t="shared" si="15"/>
        <v>2.286438E-2</v>
      </c>
      <c r="P42" s="20">
        <f t="shared" si="0"/>
        <v>9.6463685999999971</v>
      </c>
      <c r="Q42" s="6"/>
    </row>
    <row r="43" spans="1:17" s="16" customFormat="1" ht="29.45" customHeight="1" x14ac:dyDescent="0.25">
      <c r="B43" s="1" t="s">
        <v>68</v>
      </c>
      <c r="C43">
        <v>14</v>
      </c>
      <c r="D43" s="20">
        <f>HouseholdLoadProfiles!F18</f>
        <v>8.2825049999999987</v>
      </c>
      <c r="E43" s="20">
        <f t="shared" si="1"/>
        <v>4.1412524999999993</v>
      </c>
      <c r="F43" s="96">
        <f t="shared" si="2"/>
        <v>1.2423757499999997</v>
      </c>
      <c r="G43" s="20">
        <f t="shared" si="11"/>
        <v>1.2423757499999997</v>
      </c>
      <c r="H43" s="96">
        <f t="shared" si="3"/>
        <v>0.24205912499999999</v>
      </c>
      <c r="I43" s="20">
        <f t="shared" si="12"/>
        <v>0.74700862500000009</v>
      </c>
      <c r="J43" s="96">
        <f t="shared" si="5"/>
        <v>0.12102956249999999</v>
      </c>
      <c r="K43" s="20">
        <f t="shared" si="13"/>
        <v>0.3395077125</v>
      </c>
      <c r="L43" s="96">
        <f t="shared" si="7"/>
        <v>0.3069693</v>
      </c>
      <c r="M43" s="20">
        <f t="shared" si="14"/>
        <v>0.27160616999999998</v>
      </c>
      <c r="N43" s="96">
        <f t="shared" si="9"/>
        <v>0.11962136999999999</v>
      </c>
      <c r="O43" s="20">
        <f t="shared" si="15"/>
        <v>6.7901542499999995E-2</v>
      </c>
      <c r="P43" s="20">
        <f t="shared" si="0"/>
        <v>8.8417074075000013</v>
      </c>
      <c r="Q43" s="6"/>
    </row>
    <row r="44" spans="1:17" s="16" customFormat="1" ht="29.45" customHeight="1" x14ac:dyDescent="0.25">
      <c r="B44" s="1" t="s">
        <v>68</v>
      </c>
      <c r="C44">
        <v>15</v>
      </c>
      <c r="D44" s="20">
        <f>HouseholdLoadProfiles!F19</f>
        <v>8.2825049999999987</v>
      </c>
      <c r="E44" s="20">
        <f t="shared" si="1"/>
        <v>4.1412524999999993</v>
      </c>
      <c r="F44" s="96">
        <f t="shared" si="2"/>
        <v>0.7261773749999999</v>
      </c>
      <c r="G44" s="20">
        <f t="shared" si="11"/>
        <v>1.2423757499999997</v>
      </c>
      <c r="H44" s="96">
        <f t="shared" si="3"/>
        <v>0.24205912499999999</v>
      </c>
      <c r="I44" s="20">
        <f t="shared" si="12"/>
        <v>0.41412524999999994</v>
      </c>
      <c r="J44" s="96">
        <f t="shared" si="5"/>
        <v>0.38371162500000006</v>
      </c>
      <c r="K44" s="20">
        <f t="shared" si="13"/>
        <v>0.37350431250000005</v>
      </c>
      <c r="L44" s="96">
        <f t="shared" si="7"/>
        <v>0.47848547999999996</v>
      </c>
      <c r="M44" s="20">
        <f t="shared" si="14"/>
        <v>0.27160616999999998</v>
      </c>
      <c r="N44" s="96">
        <f t="shared" si="9"/>
        <v>0.22074458999999999</v>
      </c>
      <c r="O44" s="20">
        <f t="shared" si="15"/>
        <v>6.7901542499999995E-2</v>
      </c>
      <c r="P44" s="20">
        <f t="shared" si="0"/>
        <v>8.5619437199999986</v>
      </c>
      <c r="Q44" s="6"/>
    </row>
    <row r="45" spans="1:17" s="16" customFormat="1" ht="29.45" customHeight="1" x14ac:dyDescent="0.25">
      <c r="B45" s="1" t="s">
        <v>68</v>
      </c>
      <c r="C45">
        <v>16</v>
      </c>
      <c r="D45" s="20">
        <f>HouseholdLoadProfiles!F20</f>
        <v>4.8411824999999995</v>
      </c>
      <c r="E45" s="20">
        <f t="shared" si="1"/>
        <v>2.4205912499999998</v>
      </c>
      <c r="F45" s="96">
        <f t="shared" si="2"/>
        <v>0.7261773749999999</v>
      </c>
      <c r="G45" s="20">
        <f t="shared" si="11"/>
        <v>1.2423757499999997</v>
      </c>
      <c r="H45" s="96">
        <f t="shared" si="3"/>
        <v>0.76742325000000011</v>
      </c>
      <c r="I45" s="20">
        <f t="shared" si="12"/>
        <v>0.41412524999999994</v>
      </c>
      <c r="J45" s="96">
        <f t="shared" si="5"/>
        <v>0.59810684999999997</v>
      </c>
      <c r="K45" s="20">
        <f t="shared" si="13"/>
        <v>0.20706262499999997</v>
      </c>
      <c r="L45" s="96">
        <f t="shared" si="7"/>
        <v>0.88297835999999996</v>
      </c>
      <c r="M45" s="20">
        <f t="shared" si="14"/>
        <v>0.29880345000000003</v>
      </c>
      <c r="N45" s="96">
        <f t="shared" si="9"/>
        <v>0.32798386499999999</v>
      </c>
      <c r="O45" s="20">
        <f t="shared" si="15"/>
        <v>6.7901542499999995E-2</v>
      </c>
      <c r="P45" s="20">
        <f t="shared" si="0"/>
        <v>7.9535295674999986</v>
      </c>
      <c r="Q45" s="6"/>
    </row>
    <row r="46" spans="1:17" s="16" customFormat="1" ht="29.45" customHeight="1" x14ac:dyDescent="0.25">
      <c r="B46" s="1" t="s">
        <v>68</v>
      </c>
      <c r="C46">
        <v>17</v>
      </c>
      <c r="D46" s="20">
        <f>HouseholdLoadProfiles!F21</f>
        <v>4.8411824999999995</v>
      </c>
      <c r="E46" s="20">
        <f t="shared" si="1"/>
        <v>2.4205912499999998</v>
      </c>
      <c r="F46" s="96">
        <f t="shared" si="2"/>
        <v>2.3022697500000002</v>
      </c>
      <c r="G46" s="20">
        <f t="shared" si="11"/>
        <v>0.7261773749999999</v>
      </c>
      <c r="H46" s="96">
        <f t="shared" si="3"/>
        <v>1.1962136999999999</v>
      </c>
      <c r="I46" s="20">
        <f t="shared" si="12"/>
        <v>0.41412524999999994</v>
      </c>
      <c r="J46" s="96">
        <f t="shared" si="5"/>
        <v>1.1037229499999999</v>
      </c>
      <c r="K46" s="20">
        <f t="shared" si="13"/>
        <v>0.20706262499999997</v>
      </c>
      <c r="L46" s="96">
        <f t="shared" si="7"/>
        <v>1.3119354599999999</v>
      </c>
      <c r="M46" s="20">
        <f t="shared" si="14"/>
        <v>0.16565009999999997</v>
      </c>
      <c r="N46" s="96">
        <f t="shared" si="9"/>
        <v>0.30799419750000001</v>
      </c>
      <c r="O46" s="20">
        <f t="shared" si="15"/>
        <v>7.4700862500000006E-2</v>
      </c>
      <c r="P46" s="20">
        <f t="shared" si="0"/>
        <v>10.230443520000001</v>
      </c>
      <c r="Q46" s="6"/>
    </row>
    <row r="47" spans="1:17" s="16" customFormat="1" ht="29.45" customHeight="1" x14ac:dyDescent="0.25">
      <c r="B47" s="1" t="s">
        <v>68</v>
      </c>
      <c r="C47">
        <v>18</v>
      </c>
      <c r="D47" s="20">
        <f>HouseholdLoadProfiles!F22</f>
        <v>15.348465000000001</v>
      </c>
      <c r="E47" s="20">
        <f t="shared" si="1"/>
        <v>7.6742325000000005</v>
      </c>
      <c r="F47" s="96">
        <f t="shared" si="2"/>
        <v>3.5886410999999994</v>
      </c>
      <c r="G47" s="20">
        <f t="shared" si="11"/>
        <v>0.7261773749999999</v>
      </c>
      <c r="H47" s="96">
        <f t="shared" si="3"/>
        <v>2.2074458999999997</v>
      </c>
      <c r="I47" s="20">
        <f t="shared" si="12"/>
        <v>0.24205912499999999</v>
      </c>
      <c r="J47" s="96">
        <f t="shared" si="5"/>
        <v>1.6399193250000001</v>
      </c>
      <c r="K47" s="20">
        <f t="shared" si="13"/>
        <v>0.20706262499999997</v>
      </c>
      <c r="L47" s="96">
        <f t="shared" si="7"/>
        <v>1.23197679</v>
      </c>
      <c r="M47" s="20">
        <f t="shared" si="14"/>
        <v>0.16565009999999997</v>
      </c>
      <c r="N47" s="96">
        <f t="shared" si="9"/>
        <v>0.15770922750000002</v>
      </c>
      <c r="O47" s="20">
        <f t="shared" si="15"/>
        <v>4.1412524999999992E-2</v>
      </c>
      <c r="P47" s="20">
        <f t="shared" si="0"/>
        <v>17.882286592499998</v>
      </c>
      <c r="Q47" s="6"/>
    </row>
    <row r="48" spans="1:17" s="16" customFormat="1" ht="29.45" customHeight="1" x14ac:dyDescent="0.25">
      <c r="B48" s="1" t="s">
        <v>68</v>
      </c>
      <c r="C48">
        <v>19</v>
      </c>
      <c r="D48" s="20">
        <f>HouseholdLoadProfiles!F23</f>
        <v>23.924273999999997</v>
      </c>
      <c r="E48" s="20">
        <f t="shared" si="1"/>
        <v>11.962136999999998</v>
      </c>
      <c r="F48" s="96">
        <f t="shared" si="2"/>
        <v>6.6223376999999992</v>
      </c>
      <c r="G48" s="20">
        <f t="shared" si="11"/>
        <v>2.3022697500000002</v>
      </c>
      <c r="H48" s="96">
        <f t="shared" si="3"/>
        <v>3.2798386500000003</v>
      </c>
      <c r="I48" s="20">
        <f t="shared" si="12"/>
        <v>0.24205912499999999</v>
      </c>
      <c r="J48" s="96">
        <f t="shared" si="5"/>
        <v>1.5399709875000001</v>
      </c>
      <c r="K48" s="20">
        <f t="shared" si="13"/>
        <v>0.12102956249999999</v>
      </c>
      <c r="L48" s="96">
        <f t="shared" si="7"/>
        <v>0.63083691000000008</v>
      </c>
      <c r="M48" s="20">
        <f t="shared" si="14"/>
        <v>0.16565009999999997</v>
      </c>
      <c r="N48" s="96">
        <f t="shared" si="9"/>
        <v>4.0829249999999997E-2</v>
      </c>
      <c r="O48" s="20">
        <f t="shared" si="15"/>
        <v>4.1412524999999992E-2</v>
      </c>
      <c r="P48" s="20">
        <f t="shared" si="0"/>
        <v>26.948371559999995</v>
      </c>
      <c r="Q48" s="6"/>
    </row>
    <row r="49" spans="1:17" s="16" customFormat="1" ht="29.45" customHeight="1" x14ac:dyDescent="0.25">
      <c r="B49" s="1" t="s">
        <v>68</v>
      </c>
      <c r="C49">
        <v>20</v>
      </c>
      <c r="D49" s="20">
        <f>HouseholdLoadProfiles!F24</f>
        <v>44.148917999999995</v>
      </c>
      <c r="E49" s="20">
        <f t="shared" si="1"/>
        <v>22.074458999999997</v>
      </c>
      <c r="F49" s="96">
        <f t="shared" si="2"/>
        <v>9.8395159499999991</v>
      </c>
      <c r="G49" s="20">
        <f t="shared" si="11"/>
        <v>3.5886410999999994</v>
      </c>
      <c r="H49" s="96">
        <f t="shared" si="3"/>
        <v>3.0799419750000001</v>
      </c>
      <c r="I49" s="20">
        <f t="shared" si="12"/>
        <v>0.76742325000000011</v>
      </c>
      <c r="J49" s="96">
        <f t="shared" si="5"/>
        <v>0.78854613750000002</v>
      </c>
      <c r="K49" s="20">
        <f t="shared" si="13"/>
        <v>0.12102956249999999</v>
      </c>
      <c r="L49" s="96">
        <f t="shared" si="7"/>
        <v>0.16331699999999999</v>
      </c>
      <c r="M49" s="20">
        <f t="shared" si="14"/>
        <v>9.6823649999999997E-2</v>
      </c>
      <c r="N49" s="97">
        <f>$D59*N$28</f>
        <v>1.8331500000000001E-2</v>
      </c>
      <c r="O49" s="20">
        <f t="shared" si="15"/>
        <v>4.1412524999999992E-2</v>
      </c>
      <c r="P49" s="20">
        <f t="shared" si="0"/>
        <v>40.579441649999985</v>
      </c>
      <c r="Q49" s="6"/>
    </row>
    <row r="50" spans="1:17" s="16" customFormat="1" ht="29.45" customHeight="1" x14ac:dyDescent="0.25">
      <c r="B50" s="1" t="s">
        <v>68</v>
      </c>
      <c r="C50">
        <v>21</v>
      </c>
      <c r="D50" s="20">
        <f>HouseholdLoadProfiles!F25</f>
        <v>65.596772999999999</v>
      </c>
      <c r="E50" s="20">
        <f t="shared" si="1"/>
        <v>32.798386499999999</v>
      </c>
      <c r="F50" s="96">
        <f t="shared" si="2"/>
        <v>9.2398259249999999</v>
      </c>
      <c r="G50" s="20">
        <f t="shared" si="11"/>
        <v>6.6223376999999992</v>
      </c>
      <c r="H50" s="96">
        <f t="shared" si="3"/>
        <v>1.577092275</v>
      </c>
      <c r="I50" s="20">
        <f t="shared" si="12"/>
        <v>1.1962136999999999</v>
      </c>
      <c r="J50" s="96">
        <f t="shared" si="5"/>
        <v>0.20414624999999997</v>
      </c>
      <c r="K50" s="20">
        <f t="shared" si="13"/>
        <v>0.38371162500000006</v>
      </c>
      <c r="L50" s="97">
        <f>$D59*L$28</f>
        <v>7.3326000000000002E-2</v>
      </c>
      <c r="M50" s="20">
        <f t="shared" si="14"/>
        <v>9.6823649999999997E-2</v>
      </c>
      <c r="N50" s="97">
        <f>$D60*N$28</f>
        <v>1.8331500000000001E-2</v>
      </c>
      <c r="O50" s="20">
        <f t="shared" si="15"/>
        <v>2.4205912499999999E-2</v>
      </c>
      <c r="P50" s="20">
        <f t="shared" si="0"/>
        <v>52.2344010375</v>
      </c>
      <c r="Q50" s="6"/>
    </row>
    <row r="51" spans="1:17" s="19" customFormat="1" ht="29.45" customHeight="1" x14ac:dyDescent="0.25">
      <c r="A51" s="16"/>
      <c r="B51" s="1" t="s">
        <v>68</v>
      </c>
      <c r="C51">
        <v>22</v>
      </c>
      <c r="D51" s="20">
        <f>HouseholdLoadProfiles!F26</f>
        <v>61.598839499999997</v>
      </c>
      <c r="E51" s="20">
        <f t="shared" si="1"/>
        <v>30.799419749999998</v>
      </c>
      <c r="F51" s="96">
        <f t="shared" si="2"/>
        <v>4.7312768250000001</v>
      </c>
      <c r="G51" s="20">
        <f t="shared" si="11"/>
        <v>9.8395159499999991</v>
      </c>
      <c r="H51" s="96">
        <f t="shared" si="3"/>
        <v>0.40829249999999995</v>
      </c>
      <c r="I51" s="20">
        <f t="shared" si="12"/>
        <v>2.2074458999999997</v>
      </c>
      <c r="J51" s="97">
        <f>$D59*J$28</f>
        <v>9.1657500000000003E-2</v>
      </c>
      <c r="K51" s="20">
        <f t="shared" si="13"/>
        <v>0.59810684999999997</v>
      </c>
      <c r="L51" s="97">
        <f>$D60*L$28</f>
        <v>7.3326000000000002E-2</v>
      </c>
      <c r="M51" s="20">
        <f t="shared" si="14"/>
        <v>0.3069693</v>
      </c>
      <c r="N51" s="97">
        <f>$D61*N$28</f>
        <v>1.8331500000000001E-2</v>
      </c>
      <c r="O51" s="20">
        <f t="shared" si="15"/>
        <v>2.4205912499999999E-2</v>
      </c>
      <c r="P51" s="20">
        <f t="shared" si="0"/>
        <v>49.098547987499998</v>
      </c>
      <c r="Q51" s="6"/>
    </row>
    <row r="52" spans="1:17" s="19" customFormat="1" ht="29.45" customHeight="1" x14ac:dyDescent="0.25">
      <c r="A52" s="16"/>
      <c r="B52" s="1" t="s">
        <v>68</v>
      </c>
      <c r="C52">
        <v>23</v>
      </c>
      <c r="D52" s="20">
        <f>HouseholdLoadProfiles!F27</f>
        <v>31.541845500000001</v>
      </c>
      <c r="E52" s="20">
        <f t="shared" si="1"/>
        <v>15.77092275</v>
      </c>
      <c r="F52" s="96">
        <f t="shared" si="2"/>
        <v>1.2248774999999998</v>
      </c>
      <c r="G52" s="20">
        <f t="shared" si="11"/>
        <v>9.2398259249999999</v>
      </c>
      <c r="H52" s="97">
        <f>$D59*H$28</f>
        <v>0.18331500000000001</v>
      </c>
      <c r="I52" s="20">
        <f t="shared" si="12"/>
        <v>3.2798386500000003</v>
      </c>
      <c r="J52" s="97">
        <f>$D60*J$28</f>
        <v>9.1657500000000003E-2</v>
      </c>
      <c r="K52" s="20">
        <f t="shared" si="13"/>
        <v>1.1037229499999999</v>
      </c>
      <c r="L52" s="97">
        <f>$D61*L$28</f>
        <v>7.3326000000000002E-2</v>
      </c>
      <c r="M52" s="20">
        <f t="shared" si="14"/>
        <v>0.47848547999999996</v>
      </c>
      <c r="N52" s="97">
        <f>$D62*N$28</f>
        <v>1.8331500000000001E-2</v>
      </c>
      <c r="O52" s="20">
        <f t="shared" si="15"/>
        <v>7.6742325E-2</v>
      </c>
      <c r="P52" s="20">
        <f t="shared" si="0"/>
        <v>31.541045580000006</v>
      </c>
      <c r="Q52" s="6"/>
    </row>
    <row r="53" spans="1:17" s="19" customFormat="1" ht="29.45" customHeight="1" x14ac:dyDescent="0.25">
      <c r="A53" s="16"/>
      <c r="B53" s="1" t="s">
        <v>68</v>
      </c>
      <c r="C53">
        <v>24</v>
      </c>
      <c r="D53" s="20">
        <f>HouseholdLoadProfiles!F28</f>
        <v>8.1658499999999989</v>
      </c>
      <c r="E53" s="20">
        <f t="shared" si="1"/>
        <v>4.0829249999999995</v>
      </c>
      <c r="F53" s="97">
        <f>$D59*F$28</f>
        <v>0.54994500000000002</v>
      </c>
      <c r="G53" s="20">
        <f t="shared" si="11"/>
        <v>4.7312768250000001</v>
      </c>
      <c r="H53" s="97">
        <f>$D60*H$28</f>
        <v>0.18331500000000001</v>
      </c>
      <c r="I53" s="20">
        <f t="shared" si="12"/>
        <v>3.0799419750000001</v>
      </c>
      <c r="J53" s="97">
        <f>$D61*J$28</f>
        <v>9.1657500000000003E-2</v>
      </c>
      <c r="K53" s="20">
        <f t="shared" si="13"/>
        <v>1.6399193250000001</v>
      </c>
      <c r="L53" s="97">
        <f>$D62*L$28</f>
        <v>7.3326000000000002E-2</v>
      </c>
      <c r="M53" s="20">
        <f t="shared" si="14"/>
        <v>0.88297835999999996</v>
      </c>
      <c r="N53" s="97">
        <f>$D63*N$28</f>
        <v>1.8331500000000001E-2</v>
      </c>
      <c r="O53" s="20">
        <f t="shared" si="15"/>
        <v>0.11962136999999999</v>
      </c>
      <c r="P53" s="20">
        <f t="shared" si="0"/>
        <v>15.453237855000001</v>
      </c>
      <c r="Q53" s="6"/>
    </row>
    <row r="54" spans="1:17" s="19" customFormat="1" x14ac:dyDescent="0.25">
      <c r="A54" s="16"/>
      <c r="B54" s="18" t="s">
        <v>69</v>
      </c>
      <c r="C54" s="16">
        <v>20</v>
      </c>
      <c r="D54" s="20">
        <f>D49</f>
        <v>44.148917999999995</v>
      </c>
      <c r="E54" s="20"/>
      <c r="F54" s="20"/>
      <c r="G54" s="20"/>
      <c r="H54" s="20"/>
      <c r="I54" s="20"/>
      <c r="J54" s="20"/>
      <c r="K54" s="20"/>
      <c r="L54" s="20"/>
      <c r="M54" s="20"/>
      <c r="N54" s="20"/>
      <c r="O54" s="20"/>
      <c r="P54" s="20"/>
      <c r="Q54"/>
    </row>
    <row r="55" spans="1:17" s="19" customFormat="1" x14ac:dyDescent="0.25">
      <c r="A55" s="16"/>
      <c r="B55" s="18" t="s">
        <v>73</v>
      </c>
      <c r="C55" s="16">
        <v>21</v>
      </c>
      <c r="D55" s="20">
        <f t="shared" ref="D55:D58" si="16">D50</f>
        <v>65.596772999999999</v>
      </c>
      <c r="E55" s="20"/>
      <c r="F55" s="20"/>
      <c r="G55" s="20"/>
      <c r="H55" s="20"/>
      <c r="I55" s="20"/>
      <c r="J55" s="20"/>
      <c r="K55" s="20"/>
      <c r="L55" s="20"/>
      <c r="M55" s="20"/>
      <c r="N55" s="20"/>
      <c r="O55" s="20"/>
      <c r="P55" s="20"/>
      <c r="Q55"/>
    </row>
    <row r="56" spans="1:17" s="19" customFormat="1" x14ac:dyDescent="0.25">
      <c r="A56" s="16"/>
      <c r="B56" s="18" t="s">
        <v>72</v>
      </c>
      <c r="C56" s="16">
        <v>22</v>
      </c>
      <c r="D56" s="20">
        <f t="shared" si="16"/>
        <v>61.598839499999997</v>
      </c>
      <c r="E56" s="20"/>
      <c r="F56" s="20"/>
      <c r="G56" s="20"/>
      <c r="H56" s="20"/>
      <c r="I56" s="20"/>
      <c r="J56" s="20"/>
      <c r="K56" s="20"/>
      <c r="L56" s="20"/>
      <c r="M56" s="20"/>
      <c r="N56" s="20"/>
      <c r="O56" s="20"/>
      <c r="P56" s="20"/>
      <c r="Q56"/>
    </row>
    <row r="57" spans="1:17" s="19" customFormat="1" x14ac:dyDescent="0.25">
      <c r="A57" s="16"/>
      <c r="B57" s="18" t="s">
        <v>71</v>
      </c>
      <c r="C57" s="16">
        <v>23</v>
      </c>
      <c r="D57" s="20">
        <f t="shared" si="16"/>
        <v>31.541845500000001</v>
      </c>
      <c r="E57" s="20"/>
      <c r="F57" s="20"/>
      <c r="G57" s="20"/>
      <c r="H57" s="20"/>
      <c r="I57" s="20"/>
      <c r="J57" s="20"/>
      <c r="K57" s="20"/>
      <c r="L57" s="20"/>
      <c r="M57" s="20"/>
      <c r="N57" s="20"/>
      <c r="O57" s="20"/>
      <c r="P57" s="20"/>
      <c r="Q57"/>
    </row>
    <row r="58" spans="1:17" s="19" customFormat="1" x14ac:dyDescent="0.25">
      <c r="A58" s="16"/>
      <c r="B58" s="18" t="s">
        <v>70</v>
      </c>
      <c r="C58" s="16">
        <v>24</v>
      </c>
      <c r="D58" s="20">
        <f t="shared" si="16"/>
        <v>8.1658499999999989</v>
      </c>
      <c r="E58" s="20"/>
      <c r="F58" s="20"/>
      <c r="G58" s="20"/>
      <c r="H58" s="20"/>
      <c r="I58" s="20"/>
      <c r="J58" s="20"/>
      <c r="K58" s="20"/>
      <c r="L58" s="20"/>
      <c r="M58" s="20"/>
      <c r="N58" s="20"/>
      <c r="O58" s="20"/>
      <c r="P58" s="20"/>
      <c r="Q58"/>
    </row>
    <row r="59" spans="1:17" s="19" customFormat="1" x14ac:dyDescent="0.25">
      <c r="B59" s="1" t="s">
        <v>74</v>
      </c>
      <c r="C59">
        <v>1</v>
      </c>
      <c r="D59" s="20">
        <f>D30</f>
        <v>3.6663000000000001</v>
      </c>
      <c r="E59" s="20"/>
      <c r="F59" s="20"/>
      <c r="G59" s="20"/>
      <c r="H59" s="20"/>
      <c r="I59" s="20"/>
      <c r="J59" s="20"/>
      <c r="K59" s="20"/>
      <c r="L59" s="20"/>
      <c r="M59" s="20"/>
      <c r="N59" s="20"/>
      <c r="O59" s="20"/>
      <c r="P59" s="20"/>
      <c r="Q59"/>
    </row>
    <row r="60" spans="1:17" s="19" customFormat="1" x14ac:dyDescent="0.25">
      <c r="B60" s="1" t="s">
        <v>75</v>
      </c>
      <c r="C60">
        <v>2</v>
      </c>
      <c r="D60" s="20">
        <f t="shared" ref="D60:D63" si="17">D31</f>
        <v>3.6663000000000001</v>
      </c>
      <c r="E60" s="20"/>
      <c r="F60" s="20"/>
      <c r="G60" s="20"/>
      <c r="H60" s="20"/>
      <c r="I60" s="20"/>
      <c r="J60" s="20"/>
      <c r="K60" s="20"/>
      <c r="L60" s="20"/>
      <c r="M60" s="20"/>
      <c r="N60" s="20"/>
      <c r="O60" s="20"/>
      <c r="P60" s="20"/>
      <c r="Q60"/>
    </row>
    <row r="61" spans="1:17" s="19" customFormat="1" x14ac:dyDescent="0.25">
      <c r="B61" s="1" t="s">
        <v>76</v>
      </c>
      <c r="C61">
        <v>3</v>
      </c>
      <c r="D61" s="20">
        <f t="shared" si="17"/>
        <v>3.6663000000000001</v>
      </c>
      <c r="E61" s="20"/>
      <c r="F61" s="20"/>
      <c r="G61" s="20"/>
      <c r="H61" s="20"/>
      <c r="I61" s="20"/>
      <c r="J61" s="20"/>
      <c r="K61" s="20"/>
      <c r="L61" s="20"/>
      <c r="M61" s="20"/>
      <c r="N61" s="20"/>
      <c r="O61" s="20"/>
      <c r="P61" s="20"/>
      <c r="Q61"/>
    </row>
    <row r="62" spans="1:17" s="19" customFormat="1" x14ac:dyDescent="0.25">
      <c r="B62" s="1" t="s">
        <v>77</v>
      </c>
      <c r="C62">
        <v>4</v>
      </c>
      <c r="D62" s="20">
        <f t="shared" si="17"/>
        <v>3.6663000000000001</v>
      </c>
      <c r="E62" s="20"/>
      <c r="F62" s="20"/>
      <c r="G62" s="20"/>
      <c r="H62" s="20"/>
      <c r="I62" s="20"/>
      <c r="J62" s="20"/>
      <c r="K62" s="20"/>
      <c r="L62" s="20"/>
      <c r="M62" s="20"/>
      <c r="N62" s="20"/>
      <c r="O62" s="20"/>
      <c r="P62" s="20"/>
      <c r="Q62"/>
    </row>
    <row r="63" spans="1:17" s="19" customFormat="1" x14ac:dyDescent="0.25">
      <c r="B63" s="1" t="s">
        <v>78</v>
      </c>
      <c r="C63">
        <v>5</v>
      </c>
      <c r="D63" s="20">
        <f t="shared" si="17"/>
        <v>3.6663000000000001</v>
      </c>
      <c r="E63" s="20"/>
      <c r="F63" s="20"/>
      <c r="G63" s="20"/>
      <c r="H63" s="20"/>
      <c r="I63" s="20"/>
      <c r="J63" s="20"/>
      <c r="K63" s="20"/>
      <c r="L63" s="20"/>
      <c r="M63" s="20"/>
      <c r="N63" s="20"/>
      <c r="O63" s="20"/>
      <c r="P63" s="20"/>
      <c r="Q63"/>
    </row>
  </sheetData>
  <sheetProtection password="ECBF" sheet="1" objects="1" scenario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Inputs&amp;OutputSummary</vt:lpstr>
      <vt:lpstr>HouseholdLoadProfiles</vt:lpstr>
      <vt:lpstr>CommercialLoadProfiles</vt:lpstr>
      <vt:lpstr>CoincidenceFactor_HouseholdLoad</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NREL</dc:creator>
  <cp:lastModifiedBy>Tim Reber</cp:lastModifiedBy>
  <cp:lastPrinted>2017-05-24T22:39:28Z</cp:lastPrinted>
  <dcterms:created xsi:type="dcterms:W3CDTF">2017-05-18T14:56:20Z</dcterms:created>
  <dcterms:modified xsi:type="dcterms:W3CDTF">2018-01-04T20:30:54Z</dcterms:modified>
</cp:coreProperties>
</file>